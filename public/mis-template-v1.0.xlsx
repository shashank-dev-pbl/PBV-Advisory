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fit and Loss" sheetId="2" state="visible" r:id="rId4"/>
    <sheet name="Balance Sheet" sheetId="3" state="visible" r:id="rId5"/>
    <sheet name="Cash Flow" sheetId="4" state="visible" r:id="rId6"/>
    <sheet name="Working Capital" sheetId="5" state="visible" r:id="rId7"/>
    <sheet name="Customers" sheetId="6" state="visible" r:id="rId8"/>
    <sheet name="Burn and Runway" sheetId="7" state="visible" r:id="rId9"/>
    <sheet name="Checks" sheetId="8" state="visible" r:id="rId10"/>
    <sheet name="PBA-DATA" sheetId="9" state="visible" r:id="rId11"/>
  </sheets>
  <definedNames>
    <definedName function="false" hidden="false" name="pba_billed_month" vbProcedure="false">'PBA-DATA'!$B$35</definedName>
    <definedName function="false" hidden="false" name="pba_cash_closing" vbProcedure="false">'PBA-DATA'!$B$14</definedName>
    <definedName function="false" hidden="false" name="pba_cash_opening" vbProcedure="false">'PBA-DATA'!$B$13</definedName>
    <definedName function="false" hidden="false" name="pba_cash_restricted" vbProcedure="false">'PBA-DATA'!$B$15</definedName>
    <definedName function="false" hidden="false" name="pba_clients_active" vbProcedure="false">'PBA-DATA'!$B$24</definedName>
    <definedName function="false" hidden="false" name="pba_clients_added" vbProcedure="false">'PBA-DATA'!$B$25</definedName>
    <definedName function="false" hidden="false" name="pba_clients_lost" vbProcedure="false">'PBA-DATA'!$B$26</definedName>
    <definedName function="false" hidden="false" name="pba_collections_month" vbProcedure="false">'PBA-DATA'!$B$36</definedName>
    <definedName function="false" hidden="false" name="pba_expenses_accrual" vbProcedure="false">'PBA-DATA'!$B$18</definedName>
    <definedName function="false" hidden="false" name="pba_gross_burn" vbProcedure="false">'PBA-DATA'!$B$16</definedName>
    <definedName function="false" hidden="false" name="pba_net_burn" vbProcedure="false">'PBA-DATA'!$B$17</definedName>
    <definedName function="false" hidden="false" name="pba_partner_share_paid" vbProcedure="false">'PBA-DATA'!$B$23</definedName>
    <definedName function="false" hidden="false" name="pba_payables_total" vbProcedure="false">'PBA-DATA'!$B$34</definedName>
    <definedName function="false" hidden="false" name="pba_receivables_0_30" vbProcedure="false">'PBA-DATA'!$B$30</definedName>
    <definedName function="false" hidden="false" name="pba_receivables_31_60" vbProcedure="false">'PBA-DATA'!$B$31</definedName>
    <definedName function="false" hidden="false" name="pba_receivables_61_90" vbProcedure="false">'PBA-DATA'!$B$32</definedName>
    <definedName function="false" hidden="false" name="pba_receivables_90_plus" vbProcedure="false">'PBA-DATA'!$B$33</definedName>
    <definedName function="false" hidden="false" name="pba_receivables_total" vbProcedure="false">'PBA-DATA'!$B$29</definedName>
    <definedName function="false" hidden="false" name="pba_revenue_project" vbProcedure="false">'PBA-DATA'!$B$22</definedName>
    <definedName function="false" hidden="false" name="pba_revenue_service" vbProcedure="false">'PBA-DATA'!$B$21</definedName>
    <definedName function="false" hidden="false" name="pba_revenue_subscription" vbProcedure="false">'PBA-DATA'!$B$20</definedName>
    <definedName function="false" hidden="false" name="pba_revenue_total" vbProcedure="false">'PBA-DATA'!$B$19</definedName>
    <definedName function="false" hidden="false" name="pba_top5_client_revenue" vbProcedure="false">'PBA-DATA'!$B$28</definedName>
    <definedName function="false" hidden="false" name="pba_top_client_revenue" vbProcedure="false">'PBA-DATA'!$B$27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<sst xmlns="http://schemas.openxmlformats.org/spreadsheetml/2006/main" count="219" uniqueCount="207">
  <si>
    <t xml:space="preserve">Xploro — Monthly MIS</t>
  </si>
  <si>
    <t xml:space="preserve">Prime Bottomline Advisory · template version 1.0</t>
  </si>
  <si>
    <t xml:space="preserve">WHAT THIS FILE IS</t>
  </si>
  <si>
    <t xml:space="preserve">The agreed monthly management information format for Xploro Private Limited.</t>
  </si>
  <si>
    <t xml:space="preserve">One file per month, uploaded to the PBA advisory portal by day 7.</t>
  </si>
  <si>
    <t xml:space="preserve">The format is frozen. Please do not insert, delete or rename sheets, rows or columns.</t>
  </si>
  <si>
    <t xml:space="preserve">WHY THE FORMAT MATTERS</t>
  </si>
  <si>
    <t xml:space="preserve">The portal reads twenty-four figures straight out of this workbook and shows them</t>
  </si>
  <si>
    <t xml:space="preserve">to the founder. It finds them on the PBA-DATA sheet, which fills itself from the</t>
  </si>
  <si>
    <t xml:space="preserve">sheets you complete. Nobody retypes anything.</t>
  </si>
  <si>
    <t xml:space="preserve">If the structure changes, those cells break and the month cannot be published.</t>
  </si>
  <si>
    <t xml:space="preserve">HOW TO USE IT</t>
  </si>
  <si>
    <t xml:space="preserve">1. Fill every yellow cell. Yellow means 'type here'.</t>
  </si>
  <si>
    <t xml:space="preserve">2. Leave every white cell alone. Those are calculated.</t>
  </si>
  <si>
    <t xml:space="preserve">3. Open the CHECKS sheet. All five must read PASS.</t>
  </si>
  <si>
    <t xml:space="preserve">4. Save as: Xploro-MIS-YYYY-MM.xlsx  (e.g. Xploro-MIS-2026-09.xlsx)</t>
  </si>
  <si>
    <t xml:space="preserve">5. Upload to the portal against that month.</t>
  </si>
  <si>
    <t xml:space="preserve">COLOUR LEGEND</t>
  </si>
  <si>
    <t xml:space="preserve">Yellow fill, blue text    — you type this</t>
  </si>
  <si>
    <t xml:space="preserve">White, black text          — calculated on this sheet, do not edit</t>
  </si>
  <si>
    <t xml:space="preserve">White, green text          — pulled from another sheet, do not edit</t>
  </si>
  <si>
    <t xml:space="preserve">THIS MONTH</t>
  </si>
  <si>
    <t xml:space="preserve">Company</t>
  </si>
  <si>
    <t xml:space="preserve">Xploro Private Limited</t>
  </si>
  <si>
    <t xml:space="preserve">Month (YYYY-MM)</t>
  </si>
  <si>
    <t xml:space="preserve">2026-09</t>
  </si>
  <si>
    <t xml:space="preserve">Prepared by</t>
  </si>
  <si>
    <t xml:space="preserve">SPARC &amp; Co, Chartered Accountants</t>
  </si>
  <si>
    <t xml:space="preserve">Prepared on</t>
  </si>
  <si>
    <t xml:space="preserve">07/10/2026</t>
  </si>
  <si>
    <t xml:space="preserve">NOTE</t>
  </si>
  <si>
    <t xml:space="preserve">The September 2026 figures in this file are an illustrative example.</t>
  </si>
  <si>
    <t xml:space="preserve">Overwrite every yellow cell with the real month's numbers.</t>
  </si>
  <si>
    <t xml:space="preserve">Questions</t>
  </si>
  <si>
    <t xml:space="preserve">Swetha, Prime Bottomline Advisory</t>
  </si>
  <si>
    <t xml:space="preserve">Profit and Loss</t>
  </si>
  <si>
    <t xml:space="preserve">All figures exclude GST. Revenue is stated net of partner shares.</t>
  </si>
  <si>
    <t xml:space="preserve">Line</t>
  </si>
  <si>
    <t xml:space="preserve">This month</t>
  </si>
  <si>
    <t xml:space="preserve">Last month</t>
  </si>
  <si>
    <t xml:space="preserve">REVENUE  (net of revenue-share partners)</t>
  </si>
  <si>
    <t xml:space="preserve">Subscription</t>
  </si>
  <si>
    <t xml:space="preserve">Service</t>
  </si>
  <si>
    <t xml:space="preserve">Project</t>
  </si>
  <si>
    <t xml:space="preserve">Net revenue</t>
  </si>
  <si>
    <t xml:space="preserve">Paid or accrued to revenue-share partners</t>
  </si>
  <si>
    <t xml:space="preserve">Memo: gross revenue before partner share</t>
  </si>
  <si>
    <t xml:space="preserve">EXPENSES  (accrual basis, excluding GST)</t>
  </si>
  <si>
    <t xml:space="preserve">Personnel</t>
  </si>
  <si>
    <t xml:space="preserve">Infrastructure, cloud and software</t>
  </si>
  <si>
    <t xml:space="preserve">Direct delivery cost</t>
  </si>
  <si>
    <t xml:space="preserve">Other operating expenses</t>
  </si>
  <si>
    <t xml:space="preserve">Total expenses</t>
  </si>
  <si>
    <t xml:space="preserve">Operating profit / (loss)</t>
  </si>
  <si>
    <t xml:space="preserve">Balance Sheet</t>
  </si>
  <si>
    <t xml:space="preserve">As at the last day of the month.</t>
  </si>
  <si>
    <t xml:space="preserve">Amount</t>
  </si>
  <si>
    <t xml:space="preserve">ASSETS</t>
  </si>
  <si>
    <t xml:space="preserve">Cash and bank — freely available</t>
  </si>
  <si>
    <t xml:space="preserve">Cash and bank — restricted (FD, lien-marked, deposits)</t>
  </si>
  <si>
    <t xml:space="preserve">Total cash and bank</t>
  </si>
  <si>
    <t xml:space="preserve">Trade receivables</t>
  </si>
  <si>
    <t xml:space="preserve">Other current assets</t>
  </si>
  <si>
    <t xml:space="preserve">Fixed assets, net</t>
  </si>
  <si>
    <t xml:space="preserve">Total assets</t>
  </si>
  <si>
    <t xml:space="preserve">LIABILITIES AND EQUITY</t>
  </si>
  <si>
    <t xml:space="preserve">Trade payables</t>
  </si>
  <si>
    <t xml:space="preserve">Statutory dues payable</t>
  </si>
  <si>
    <t xml:space="preserve">Borrowings</t>
  </si>
  <si>
    <t xml:space="preserve">Other current liabilities</t>
  </si>
  <si>
    <t xml:space="preserve">Share capital and reserves</t>
  </si>
  <si>
    <t xml:space="preserve">Total liabilities and equity</t>
  </si>
  <si>
    <t xml:space="preserve">Total assets less total liabilities and equity — must be nil</t>
  </si>
  <si>
    <t xml:space="preserve">Cash Flow</t>
  </si>
  <si>
    <t xml:space="preserve">Actual money in and out of the bank accounts during the month.</t>
  </si>
  <si>
    <t xml:space="preserve">Opening cash and bank, day 1</t>
  </si>
  <si>
    <t xml:space="preserve">MONEY IN</t>
  </si>
  <si>
    <t xml:space="preserve">Collections from customers</t>
  </si>
  <si>
    <t xml:space="preserve">Other receipts</t>
  </si>
  <si>
    <t xml:space="preserve">Total money in</t>
  </si>
  <si>
    <t xml:space="preserve">MONEY OUT</t>
  </si>
  <si>
    <t xml:space="preserve">Payroll</t>
  </si>
  <si>
    <t xml:space="preserve">Vendors and operating</t>
  </si>
  <si>
    <t xml:space="preserve">Statutory payments</t>
  </si>
  <si>
    <t xml:space="preserve">Other payments</t>
  </si>
  <si>
    <t xml:space="preserve">Total money out</t>
  </si>
  <si>
    <t xml:space="preserve">Net movement in the month</t>
  </si>
  <si>
    <t xml:space="preserve">Closing cash and bank, last day</t>
  </si>
  <si>
    <t xml:space="preserve">Memo: gross burn — everything that left the bank</t>
  </si>
  <si>
    <t xml:space="preserve">Memo: net burn — money out less money in</t>
  </si>
  <si>
    <t xml:space="preserve">Working Capital</t>
  </si>
  <si>
    <t xml:space="preserve">Receivables, payables and how well the month collected.</t>
  </si>
  <si>
    <t xml:space="preserve">RECEIVABLES BY AGE</t>
  </si>
  <si>
    <t xml:space="preserve">0 to 30 days</t>
  </si>
  <si>
    <t xml:space="preserve">31 to 60 days</t>
  </si>
  <si>
    <t xml:space="preserve">61 to 90 days</t>
  </si>
  <si>
    <t xml:space="preserve">Over 90 days</t>
  </si>
  <si>
    <t xml:space="preserve">Total receivables</t>
  </si>
  <si>
    <t xml:space="preserve">PAYABLES</t>
  </si>
  <si>
    <t xml:space="preserve">Trade payables at month end</t>
  </si>
  <si>
    <t xml:space="preserve">THE MONTH'S BILLING AND COLLECTION</t>
  </si>
  <si>
    <t xml:space="preserve">Total billed this month, including GST</t>
  </si>
  <si>
    <t xml:space="preserve">Total collected this month</t>
  </si>
  <si>
    <t xml:space="preserve">Memo: collection efficiency</t>
  </si>
  <si>
    <t xml:space="preserve">Memo: days to collect</t>
  </si>
  <si>
    <t xml:space="preserve">Customers</t>
  </si>
  <si>
    <t xml:space="preserve">Client count and revenue concentration for the month.</t>
  </si>
  <si>
    <t xml:space="preserve">Paying clients at month end</t>
  </si>
  <si>
    <t xml:space="preserve">New clients won this month</t>
  </si>
  <si>
    <t xml:space="preserve">Clients lost this month</t>
  </si>
  <si>
    <t xml:space="preserve">Revenue from the single largest client</t>
  </si>
  <si>
    <t xml:space="preserve">Revenue from the five largest clients combined</t>
  </si>
  <si>
    <t xml:space="preserve">Memo: largest client as a share of revenue</t>
  </si>
  <si>
    <t xml:space="preserve">Memo: top five as a share of revenue</t>
  </si>
  <si>
    <t xml:space="preserve">Burn and Runway</t>
  </si>
  <si>
    <t xml:space="preserve">How fast the cash is going and how long it lasts.</t>
  </si>
  <si>
    <t xml:space="preserve">Cash and bank at month end</t>
  </si>
  <si>
    <t xml:space="preserve">Less: restricted balances</t>
  </si>
  <si>
    <t xml:space="preserve">Cash freely available</t>
  </si>
  <si>
    <t xml:space="preserve">Net burn this month</t>
  </si>
  <si>
    <t xml:space="preserve">Net burn last month</t>
  </si>
  <si>
    <t xml:space="preserve">Net burn two months ago</t>
  </si>
  <si>
    <t xml:space="preserve">Average net burn, last three months</t>
  </si>
  <si>
    <t xml:space="preserve">Runway in months</t>
  </si>
  <si>
    <t xml:space="preserve">Alert threshold agreed with the client</t>
  </si>
  <si>
    <t xml:space="preserve">Status</t>
  </si>
  <si>
    <t xml:space="preserve">If this reads BELOW THRESHOLD the portal alerts the founder and PBA on publish.</t>
  </si>
  <si>
    <t xml:space="preserve">Checks</t>
  </si>
  <si>
    <t xml:space="preserve">All five must read PASS before this file is uploaded.</t>
  </si>
  <si>
    <t xml:space="preserve">Check</t>
  </si>
  <si>
    <t xml:space="preserve">Value A</t>
  </si>
  <si>
    <t xml:space="preserve">Value B</t>
  </si>
  <si>
    <t xml:space="preserve">Result</t>
  </si>
  <si>
    <t xml:space="preserve">Balance sheet balances</t>
  </si>
  <si>
    <t xml:space="preserve">Receivables ageing ties to the balance sheet</t>
  </si>
  <si>
    <t xml:space="preserve">Closing cash ties to the balance sheet</t>
  </si>
  <si>
    <t xml:space="preserve">Collections agree across sheets</t>
  </si>
  <si>
    <t xml:space="preserve">Largest client does not exceed top five, top five does not exceed revenue</t>
  </si>
  <si>
    <t xml:space="preserve">ALL CHECKS</t>
  </si>
  <si>
    <t xml:space="preserve">A FAIL does not mean the numbers are wrong — it means two sheets disagree</t>
  </si>
  <si>
    <t xml:space="preserve">and one of them needs correcting before the month can be published.</t>
  </si>
  <si>
    <t xml:space="preserve">PBA-DATA</t>
  </si>
  <si>
    <t xml:space="preserve">Do not edit this sheet. It fills itself and the portal reads it.</t>
  </si>
  <si>
    <t xml:space="preserve">Field</t>
  </si>
  <si>
    <t xml:space="preserve">Value</t>
  </si>
  <si>
    <t xml:space="preserve">Where it comes from</t>
  </si>
  <si>
    <t xml:space="preserve">template_version</t>
  </si>
  <si>
    <t xml:space="preserve">1.0</t>
  </si>
  <si>
    <t xml:space="preserve">Fixed. The portal refuses a version it does not know</t>
  </si>
  <si>
    <t xml:space="preserve">company_name</t>
  </si>
  <si>
    <t xml:space="preserve">READ ME sheet</t>
  </si>
  <si>
    <t xml:space="preserve">period</t>
  </si>
  <si>
    <t xml:space="preserve">prepared_by</t>
  </si>
  <si>
    <t xml:space="preserve">prepared_on</t>
  </si>
  <si>
    <t xml:space="preserve">checks_all_pass</t>
  </si>
  <si>
    <t xml:space="preserve">Checks sheet — must be PASS to publish</t>
  </si>
  <si>
    <t xml:space="preserve">THE TWENTY-FOUR FIGURES</t>
  </si>
  <si>
    <t xml:space="preserve">cash_opening</t>
  </si>
  <si>
    <t xml:space="preserve">Cash Flow — opening cash and bank</t>
  </si>
  <si>
    <t xml:space="preserve">cash_closing</t>
  </si>
  <si>
    <t xml:space="preserve">Balance Sheet — total cash and bank</t>
  </si>
  <si>
    <t xml:space="preserve">cash_restricted</t>
  </si>
  <si>
    <t xml:space="preserve">Balance Sheet — restricted balances</t>
  </si>
  <si>
    <t xml:space="preserve">gross_burn</t>
  </si>
  <si>
    <t xml:space="preserve">Cash Flow — total money out</t>
  </si>
  <si>
    <t xml:space="preserve">net_burn</t>
  </si>
  <si>
    <t xml:space="preserve">Cash Flow — money out less money in</t>
  </si>
  <si>
    <t xml:space="preserve">expenses_accrual</t>
  </si>
  <si>
    <t xml:space="preserve">Profit and Loss — total expenses</t>
  </si>
  <si>
    <t xml:space="preserve">revenue_total</t>
  </si>
  <si>
    <t xml:space="preserve">Profit and Loss — net revenue</t>
  </si>
  <si>
    <t xml:space="preserve">revenue_subscription</t>
  </si>
  <si>
    <t xml:space="preserve">Profit and Loss — subscription</t>
  </si>
  <si>
    <t xml:space="preserve">revenue_service</t>
  </si>
  <si>
    <t xml:space="preserve">Profit and Loss — service</t>
  </si>
  <si>
    <t xml:space="preserve">revenue_project</t>
  </si>
  <si>
    <t xml:space="preserve">Profit and Loss — project</t>
  </si>
  <si>
    <t xml:space="preserve">partner_share_paid</t>
  </si>
  <si>
    <t xml:space="preserve">Profit and Loss — paid to partners</t>
  </si>
  <si>
    <t xml:space="preserve">clients_active</t>
  </si>
  <si>
    <t xml:space="preserve">Customers — paying clients at month end</t>
  </si>
  <si>
    <t xml:space="preserve">clients_added</t>
  </si>
  <si>
    <t xml:space="preserve">Customers — won this month</t>
  </si>
  <si>
    <t xml:space="preserve">clients_lost</t>
  </si>
  <si>
    <t xml:space="preserve">Customers — lost this month</t>
  </si>
  <si>
    <t xml:space="preserve">top_client_revenue</t>
  </si>
  <si>
    <t xml:space="preserve">Customers — largest client</t>
  </si>
  <si>
    <t xml:space="preserve">top5_client_revenue</t>
  </si>
  <si>
    <t xml:space="preserve">Customers — five largest combined</t>
  </si>
  <si>
    <t xml:space="preserve">receivables_total</t>
  </si>
  <si>
    <t xml:space="preserve">Working Capital — total receivables</t>
  </si>
  <si>
    <t xml:space="preserve">receivables_0_30</t>
  </si>
  <si>
    <t xml:space="preserve">Working Capital — 0 to 30 days</t>
  </si>
  <si>
    <t xml:space="preserve">receivables_31_60</t>
  </si>
  <si>
    <t xml:space="preserve">Working Capital — 31 to 60 days</t>
  </si>
  <si>
    <t xml:space="preserve">receivables_61_90</t>
  </si>
  <si>
    <t xml:space="preserve">Working Capital — 61 to 90 days</t>
  </si>
  <si>
    <t xml:space="preserve">receivables_90_plus</t>
  </si>
  <si>
    <t xml:space="preserve">Working Capital — over 90 days</t>
  </si>
  <si>
    <t xml:space="preserve">payables_total</t>
  </si>
  <si>
    <t xml:space="preserve">Working Capital — trade payables</t>
  </si>
  <si>
    <t xml:space="preserve">billed_month</t>
  </si>
  <si>
    <t xml:space="preserve">Working Capital — billed this month</t>
  </si>
  <si>
    <t xml:space="preserve">collections_month</t>
  </si>
  <si>
    <t xml:space="preserve">Working Capital — collected this month</t>
  </si>
  <si>
    <t xml:space="preserve">If any cell above shows a reference error, the structure has been changed</t>
  </si>
  <si>
    <t xml:space="preserve">and the month cannot be published. Restore the template and re-enter.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</si>
</sst>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\₹#,##0;&quot;(₹&quot;#,##0\);\–"/>
    <numFmt numFmtId="167" formatCode="0.0%"/>
    <numFmt numFmtId="168" formatCode="0.0"/>
    <numFmt numFmtId="169" formatCode="#,##0;\(#,##0\);\–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E462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E4620"/>
        <bgColor rgb="FF333333"/>
      </patternFill>
    </fill>
    <fill>
      <patternFill patternType="solid">
        <fgColor rgb="FFE8E8E8"/>
        <bgColor rgb="FFF2F2F2"/>
      </patternFill>
    </fill>
    <fill>
      <patternFill patternType="solid">
        <fgColor rgb="FFF2F2F2"/>
        <bgColor rgb="FFE8E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/>
      <right/>
      <top style="thin">
        <color rgb="FF3333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E462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4" t="s">
        <v>15</v>
      </c>
    </row>
    <row r="20" customFormat="false" ht="15" hidden="false" customHeight="false" outlineLevel="0" collapsed="false">
      <c r="B20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5" t="s">
        <v>22</v>
      </c>
      <c r="B28" s="6" t="s">
        <v>23</v>
      </c>
    </row>
    <row r="29" customFormat="false" ht="15" hidden="false" customHeight="false" outlineLevel="0" collapsed="false">
      <c r="A29" s="5" t="s">
        <v>24</v>
      </c>
      <c r="B29" s="6" t="s">
        <v>25</v>
      </c>
    </row>
    <row r="30" customFormat="false" ht="15" hidden="false" customHeight="false" outlineLevel="0" collapsed="false">
      <c r="A30" s="5" t="s">
        <v>26</v>
      </c>
      <c r="B30" s="6" t="s">
        <v>27</v>
      </c>
    </row>
    <row r="31" customFormat="false" ht="15" hidden="false" customHeight="false" outlineLevel="0" collapsed="false">
      <c r="A31" s="5" t="s">
        <v>28</v>
      </c>
      <c r="B31" s="6" t="s">
        <v>29</v>
      </c>
    </row>
    <row r="33" customFormat="false" ht="15" hidden="false" customHeight="false" outlineLevel="0" collapsed="false">
      <c r="A33" s="3" t="s">
        <v>30</v>
      </c>
      <c r="B33" s="7" t="s">
        <v>31</v>
      </c>
    </row>
    <row r="34" customFormat="false" ht="15" hidden="false" customHeight="false" outlineLevel="0" collapsed="false">
      <c r="B34" s="8" t="s">
        <v>32</v>
      </c>
    </row>
    <row r="36" customFormat="false" ht="15" hidden="false" customHeight="false" outlineLevel="0" collapsed="false">
      <c r="A36" s="5" t="s">
        <v>33</v>
      </c>
      <c r="B36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9" t="s">
        <v>37</v>
      </c>
      <c r="B4" s="10" t="s">
        <v>38</v>
      </c>
      <c r="C4" s="10" t="s">
        <v>39</v>
      </c>
    </row>
    <row r="6" customFormat="false" ht="15" hidden="false" customHeight="false" outlineLevel="0" collapsed="false">
      <c r="A6" s="3" t="s">
        <v>40</v>
      </c>
    </row>
    <row r="7" customFormat="false" ht="15" hidden="false" customHeight="false" outlineLevel="0" collapsed="false">
      <c r="A7" s="4" t="s">
        <v>41</v>
      </c>
      <c r="B7" s="11" t="n">
        <v>210000</v>
      </c>
      <c r="C7" s="11" t="n">
        <v>175000</v>
      </c>
    </row>
    <row r="8" customFormat="false" ht="15" hidden="false" customHeight="false" outlineLevel="0" collapsed="false">
      <c r="A8" s="4" t="s">
        <v>42</v>
      </c>
      <c r="B8" s="11" t="n">
        <v>340000</v>
      </c>
      <c r="C8" s="11" t="n">
        <v>320000</v>
      </c>
    </row>
    <row r="9" customFormat="false" ht="15" hidden="false" customHeight="false" outlineLevel="0" collapsed="false">
      <c r="A9" s="4" t="s">
        <v>43</v>
      </c>
      <c r="B9" s="11" t="n">
        <v>160000</v>
      </c>
      <c r="C9" s="11" t="n">
        <v>163000</v>
      </c>
    </row>
    <row r="10" customFormat="false" ht="15" hidden="false" customHeight="false" outlineLevel="0" collapsed="false">
      <c r="A10" s="12" t="s">
        <v>44</v>
      </c>
      <c r="B10" s="13" t="n">
        <f aca="false">SUM(B7:B9)</f>
        <v>710000</v>
      </c>
      <c r="C10" s="13" t="n">
        <f aca="false">SUM(C7:C9)</f>
        <v>658000</v>
      </c>
    </row>
    <row r="12" customFormat="false" ht="15" hidden="false" customHeight="false" outlineLevel="0" collapsed="false">
      <c r="A12" s="4" t="s">
        <v>45</v>
      </c>
      <c r="B12" s="11" t="n">
        <v>180000</v>
      </c>
      <c r="C12" s="11" t="n">
        <v>165000</v>
      </c>
    </row>
    <row r="13" customFormat="false" ht="15" hidden="false" customHeight="false" outlineLevel="0" collapsed="false">
      <c r="A13" s="2" t="s">
        <v>46</v>
      </c>
      <c r="B13" s="14" t="n">
        <f aca="false">B10+B12</f>
        <v>890000</v>
      </c>
      <c r="C13" s="14" t="n">
        <f aca="false">C10+C12</f>
        <v>823000</v>
      </c>
    </row>
    <row r="15" customFormat="false" ht="15" hidden="false" customHeight="false" outlineLevel="0" collapsed="false">
      <c r="A15" s="3" t="s">
        <v>47</v>
      </c>
    </row>
    <row r="16" customFormat="false" ht="15" hidden="false" customHeight="false" outlineLevel="0" collapsed="false">
      <c r="A16" s="4" t="s">
        <v>48</v>
      </c>
      <c r="B16" s="11" t="n">
        <v>480000</v>
      </c>
      <c r="C16" s="11" t="n">
        <v>455000</v>
      </c>
    </row>
    <row r="17" customFormat="false" ht="15" hidden="false" customHeight="false" outlineLevel="0" collapsed="false">
      <c r="A17" s="4" t="s">
        <v>49</v>
      </c>
      <c r="B17" s="11" t="n">
        <v>125000</v>
      </c>
      <c r="C17" s="11" t="n">
        <v>118000</v>
      </c>
    </row>
    <row r="18" customFormat="false" ht="15" hidden="false" customHeight="false" outlineLevel="0" collapsed="false">
      <c r="A18" s="4" t="s">
        <v>50</v>
      </c>
      <c r="B18" s="11" t="n">
        <v>95000</v>
      </c>
      <c r="C18" s="11" t="n">
        <v>92000</v>
      </c>
    </row>
    <row r="19" customFormat="false" ht="15" hidden="false" customHeight="false" outlineLevel="0" collapsed="false">
      <c r="A19" s="4" t="s">
        <v>51</v>
      </c>
      <c r="B19" s="11" t="n">
        <v>105000</v>
      </c>
      <c r="C19" s="11" t="n">
        <v>95000</v>
      </c>
    </row>
    <row r="20" customFormat="false" ht="15" hidden="false" customHeight="false" outlineLevel="0" collapsed="false">
      <c r="A20" s="12" t="s">
        <v>52</v>
      </c>
      <c r="B20" s="13" t="n">
        <f aca="false">SUM(B16:B19)</f>
        <v>805000</v>
      </c>
      <c r="C20" s="13" t="n">
        <f aca="false">SUM(C16:C19)</f>
        <v>760000</v>
      </c>
    </row>
    <row r="22" customFormat="false" ht="15" hidden="false" customHeight="false" outlineLevel="0" collapsed="false">
      <c r="A22" s="5" t="s">
        <v>53</v>
      </c>
      <c r="B22" s="15" t="n">
        <f aca="false">B10-B20</f>
        <v>-95000</v>
      </c>
      <c r="C22" s="15" t="n">
        <f aca="false">C10-C20</f>
        <v>-102000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37</v>
      </c>
      <c r="B4" s="10" t="s">
        <v>56</v>
      </c>
    </row>
    <row r="6" customFormat="false" ht="15" hidden="false" customHeight="false" outlineLevel="0" collapsed="false">
      <c r="A6" s="3" t="s">
        <v>57</v>
      </c>
    </row>
    <row r="7" customFormat="false" ht="15" hidden="false" customHeight="false" outlineLevel="0" collapsed="false">
      <c r="A7" s="4" t="s">
        <v>58</v>
      </c>
      <c r="B7" s="11" t="n">
        <v>1640000</v>
      </c>
    </row>
    <row r="8" customFormat="false" ht="15" hidden="false" customHeight="false" outlineLevel="0" collapsed="false">
      <c r="A8" s="4" t="s">
        <v>59</v>
      </c>
      <c r="B8" s="11" t="n">
        <v>200000</v>
      </c>
    </row>
    <row r="9" customFormat="false" ht="15" hidden="false" customHeight="false" outlineLevel="0" collapsed="false">
      <c r="A9" s="5" t="s">
        <v>60</v>
      </c>
      <c r="B9" s="15" t="n">
        <f aca="false">B7+B8</f>
        <v>1840000</v>
      </c>
    </row>
    <row r="10" customFormat="false" ht="15" hidden="false" customHeight="false" outlineLevel="0" collapsed="false">
      <c r="A10" s="4" t="s">
        <v>61</v>
      </c>
      <c r="B10" s="11" t="n">
        <v>920000</v>
      </c>
    </row>
    <row r="11" customFormat="false" ht="15" hidden="false" customHeight="false" outlineLevel="0" collapsed="false">
      <c r="A11" s="4" t="s">
        <v>62</v>
      </c>
      <c r="B11" s="11" t="n">
        <v>180000</v>
      </c>
    </row>
    <row r="12" customFormat="false" ht="15" hidden="false" customHeight="false" outlineLevel="0" collapsed="false">
      <c r="A12" s="4" t="s">
        <v>63</v>
      </c>
      <c r="B12" s="11" t="n">
        <v>340000</v>
      </c>
    </row>
    <row r="13" customFormat="false" ht="15" hidden="false" customHeight="false" outlineLevel="0" collapsed="false">
      <c r="A13" s="12" t="s">
        <v>64</v>
      </c>
      <c r="B13" s="13" t="n">
        <f aca="false">B9+B10+B11+B12</f>
        <v>3280000</v>
      </c>
    </row>
    <row r="15" customFormat="false" ht="15" hidden="false" customHeight="false" outlineLevel="0" collapsed="false">
      <c r="A15" s="3" t="s">
        <v>65</v>
      </c>
    </row>
    <row r="16" customFormat="false" ht="15" hidden="false" customHeight="false" outlineLevel="0" collapsed="false">
      <c r="A16" s="4" t="s">
        <v>66</v>
      </c>
      <c r="B16" s="11" t="n">
        <v>430000</v>
      </c>
    </row>
    <row r="17" customFormat="false" ht="15" hidden="false" customHeight="false" outlineLevel="0" collapsed="false">
      <c r="A17" s="4" t="s">
        <v>67</v>
      </c>
      <c r="B17" s="11" t="n">
        <v>145000</v>
      </c>
    </row>
    <row r="18" customFormat="false" ht="15" hidden="false" customHeight="false" outlineLevel="0" collapsed="false">
      <c r="A18" s="4" t="s">
        <v>68</v>
      </c>
      <c r="B18" s="11" t="n">
        <v>640000</v>
      </c>
    </row>
    <row r="19" customFormat="false" ht="15" hidden="false" customHeight="false" outlineLevel="0" collapsed="false">
      <c r="A19" s="4" t="s">
        <v>69</v>
      </c>
      <c r="B19" s="11" t="n">
        <v>210000</v>
      </c>
    </row>
    <row r="20" customFormat="false" ht="15" hidden="false" customHeight="false" outlineLevel="0" collapsed="false">
      <c r="A20" s="4" t="s">
        <v>70</v>
      </c>
      <c r="B20" s="11" t="n">
        <v>1855000</v>
      </c>
    </row>
    <row r="21" customFormat="false" ht="15" hidden="false" customHeight="false" outlineLevel="0" collapsed="false">
      <c r="A21" s="12" t="s">
        <v>71</v>
      </c>
      <c r="B21" s="13" t="n">
        <f aca="false">SUM(B16:B20)</f>
        <v>3280000</v>
      </c>
    </row>
    <row r="23" customFormat="false" ht="15" hidden="false" customHeight="false" outlineLevel="0" collapsed="false">
      <c r="A23" s="2" t="s">
        <v>72</v>
      </c>
      <c r="B23" s="14" t="n">
        <f aca="false">B13-B21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9" t="s">
        <v>37</v>
      </c>
      <c r="B4" s="10" t="s">
        <v>56</v>
      </c>
    </row>
    <row r="6" customFormat="false" ht="15" hidden="false" customHeight="false" outlineLevel="0" collapsed="false">
      <c r="A6" s="4" t="s">
        <v>75</v>
      </c>
      <c r="B6" s="11" t="n">
        <v>2000000</v>
      </c>
    </row>
    <row r="8" customFormat="false" ht="15" hidden="false" customHeight="false" outlineLevel="0" collapsed="false">
      <c r="A8" s="3" t="s">
        <v>76</v>
      </c>
    </row>
    <row r="9" customFormat="false" ht="15" hidden="false" customHeight="false" outlineLevel="0" collapsed="false">
      <c r="A9" s="4" t="s">
        <v>77</v>
      </c>
      <c r="B9" s="11" t="n">
        <v>690000</v>
      </c>
    </row>
    <row r="10" customFormat="false" ht="15" hidden="false" customHeight="false" outlineLevel="0" collapsed="false">
      <c r="A10" s="4" t="s">
        <v>78</v>
      </c>
      <c r="B10" s="11" t="n">
        <v>20000</v>
      </c>
    </row>
    <row r="11" customFormat="false" ht="15" hidden="false" customHeight="false" outlineLevel="0" collapsed="false">
      <c r="A11" s="5" t="s">
        <v>79</v>
      </c>
      <c r="B11" s="15" t="n">
        <f aca="false">SUM(B9:B10)</f>
        <v>710000</v>
      </c>
    </row>
    <row r="13" customFormat="false" ht="15" hidden="false" customHeight="false" outlineLevel="0" collapsed="false">
      <c r="A13" s="3" t="s">
        <v>80</v>
      </c>
    </row>
    <row r="14" customFormat="false" ht="15" hidden="false" customHeight="false" outlineLevel="0" collapsed="false">
      <c r="A14" s="4" t="s">
        <v>81</v>
      </c>
      <c r="B14" s="11" t="n">
        <v>470000</v>
      </c>
    </row>
    <row r="15" customFormat="false" ht="15" hidden="false" customHeight="false" outlineLevel="0" collapsed="false">
      <c r="A15" s="4" t="s">
        <v>82</v>
      </c>
      <c r="B15" s="11" t="n">
        <v>250000</v>
      </c>
    </row>
    <row r="16" customFormat="false" ht="15" hidden="false" customHeight="false" outlineLevel="0" collapsed="false">
      <c r="A16" s="4" t="s">
        <v>83</v>
      </c>
      <c r="B16" s="11" t="n">
        <v>85000</v>
      </c>
    </row>
    <row r="17" customFormat="false" ht="15" hidden="false" customHeight="false" outlineLevel="0" collapsed="false">
      <c r="A17" s="4" t="s">
        <v>84</v>
      </c>
      <c r="B17" s="11" t="n">
        <v>65000</v>
      </c>
    </row>
    <row r="18" customFormat="false" ht="15" hidden="false" customHeight="false" outlineLevel="0" collapsed="false">
      <c r="A18" s="5" t="s">
        <v>85</v>
      </c>
      <c r="B18" s="15" t="n">
        <f aca="false">SUM(B14:B17)</f>
        <v>870000</v>
      </c>
    </row>
    <row r="20" customFormat="false" ht="15" hidden="false" customHeight="false" outlineLevel="0" collapsed="false">
      <c r="A20" s="5" t="s">
        <v>86</v>
      </c>
      <c r="B20" s="15" t="n">
        <f aca="false">B11-B18</f>
        <v>-160000</v>
      </c>
    </row>
    <row r="21" customFormat="false" ht="15" hidden="false" customHeight="false" outlineLevel="0" collapsed="false">
      <c r="A21" s="12" t="s">
        <v>87</v>
      </c>
      <c r="B21" s="13" t="n">
        <f aca="false">B6+B20</f>
        <v>1840000</v>
      </c>
    </row>
    <row r="23" customFormat="false" ht="15" hidden="false" customHeight="false" outlineLevel="0" collapsed="false">
      <c r="A23" s="2" t="s">
        <v>88</v>
      </c>
      <c r="B23" s="14" t="n">
        <f aca="false">B18</f>
        <v>870000</v>
      </c>
    </row>
    <row r="24" customFormat="false" ht="15" hidden="false" customHeight="false" outlineLevel="0" collapsed="false">
      <c r="A24" s="2" t="s">
        <v>89</v>
      </c>
      <c r="B24" s="14" t="n">
        <f aca="false">B18-B11</f>
        <v>160000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9" t="s">
        <v>37</v>
      </c>
      <c r="B4" s="10" t="s">
        <v>56</v>
      </c>
    </row>
    <row r="6" customFormat="false" ht="15" hidden="false" customHeight="false" outlineLevel="0" collapsed="false">
      <c r="A6" s="3" t="s">
        <v>92</v>
      </c>
    </row>
    <row r="7" customFormat="false" ht="15" hidden="false" customHeight="false" outlineLevel="0" collapsed="false">
      <c r="A7" s="4" t="s">
        <v>93</v>
      </c>
      <c r="B7" s="11" t="n">
        <v>410000</v>
      </c>
    </row>
    <row r="8" customFormat="false" ht="15" hidden="false" customHeight="false" outlineLevel="0" collapsed="false">
      <c r="A8" s="4" t="s">
        <v>94</v>
      </c>
      <c r="B8" s="11" t="n">
        <v>260000</v>
      </c>
    </row>
    <row r="9" customFormat="false" ht="15" hidden="false" customHeight="false" outlineLevel="0" collapsed="false">
      <c r="A9" s="4" t="s">
        <v>95</v>
      </c>
      <c r="B9" s="11" t="n">
        <v>140000</v>
      </c>
    </row>
    <row r="10" customFormat="false" ht="15" hidden="false" customHeight="false" outlineLevel="0" collapsed="false">
      <c r="A10" s="4" t="s">
        <v>96</v>
      </c>
      <c r="B10" s="11" t="n">
        <v>110000</v>
      </c>
    </row>
    <row r="11" customFormat="false" ht="15" hidden="false" customHeight="false" outlineLevel="0" collapsed="false">
      <c r="A11" s="12" t="s">
        <v>97</v>
      </c>
      <c r="B11" s="13" t="n">
        <f aca="false">SUM(B7:B10)</f>
        <v>920000</v>
      </c>
    </row>
    <row r="13" customFormat="false" ht="15" hidden="false" customHeight="false" outlineLevel="0" collapsed="false">
      <c r="A13" s="3" t="s">
        <v>98</v>
      </c>
    </row>
    <row r="14" customFormat="false" ht="15" hidden="false" customHeight="false" outlineLevel="0" collapsed="false">
      <c r="A14" s="4" t="s">
        <v>99</v>
      </c>
      <c r="B14" s="11" t="n">
        <v>430000</v>
      </c>
    </row>
    <row r="16" customFormat="false" ht="15" hidden="false" customHeight="false" outlineLevel="0" collapsed="false">
      <c r="A16" s="3" t="s">
        <v>100</v>
      </c>
    </row>
    <row r="17" customFormat="false" ht="15" hidden="false" customHeight="false" outlineLevel="0" collapsed="false">
      <c r="A17" s="4" t="s">
        <v>101</v>
      </c>
      <c r="B17" s="11" t="n">
        <v>840000</v>
      </c>
    </row>
    <row r="18" customFormat="false" ht="15" hidden="false" customHeight="false" outlineLevel="0" collapsed="false">
      <c r="A18" s="4" t="s">
        <v>102</v>
      </c>
      <c r="B18" s="11" t="n">
        <v>690000</v>
      </c>
    </row>
    <row r="20" customFormat="false" ht="15" hidden="false" customHeight="false" outlineLevel="0" collapsed="false">
      <c r="A20" s="2" t="s">
        <v>103</v>
      </c>
      <c r="B20" s="16" t="n">
        <f aca="false">IF(B17=0,0,B18/B17)</f>
        <v>0.821428571428571</v>
      </c>
    </row>
    <row r="21" customFormat="false" ht="15" hidden="false" customHeight="false" outlineLevel="0" collapsed="false">
      <c r="A21" s="2" t="s">
        <v>104</v>
      </c>
      <c r="B21" s="17" t="n">
        <f aca="false">IF(B17=0,0,B11/B17*30)</f>
        <v>32.8571428571429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37</v>
      </c>
      <c r="B4" s="10" t="s">
        <v>56</v>
      </c>
    </row>
    <row r="6" customFormat="false" ht="15" hidden="false" customHeight="false" outlineLevel="0" collapsed="false">
      <c r="A6" s="4" t="s">
        <v>107</v>
      </c>
      <c r="B6" s="18" t="n">
        <v>14</v>
      </c>
    </row>
    <row r="7" customFormat="false" ht="15" hidden="false" customHeight="false" outlineLevel="0" collapsed="false">
      <c r="A7" s="4" t="s">
        <v>108</v>
      </c>
      <c r="B7" s="18" t="n">
        <v>2</v>
      </c>
    </row>
    <row r="8" customFormat="false" ht="15" hidden="false" customHeight="false" outlineLevel="0" collapsed="false">
      <c r="A8" s="4" t="s">
        <v>109</v>
      </c>
      <c r="B8" s="18" t="n">
        <v>1</v>
      </c>
    </row>
    <row r="10" customFormat="false" ht="15" hidden="false" customHeight="false" outlineLevel="0" collapsed="false">
      <c r="A10" s="4" t="s">
        <v>110</v>
      </c>
      <c r="B10" s="11" t="n">
        <v>284000</v>
      </c>
    </row>
    <row r="11" customFormat="false" ht="15" hidden="false" customHeight="false" outlineLevel="0" collapsed="false">
      <c r="A11" s="4" t="s">
        <v>111</v>
      </c>
      <c r="B11" s="11" t="n">
        <v>553800</v>
      </c>
    </row>
    <row r="13" customFormat="false" ht="15" hidden="false" customHeight="false" outlineLevel="0" collapsed="false">
      <c r="A13" s="2" t="s">
        <v>112</v>
      </c>
      <c r="B13" s="19" t="n">
        <f aca="false">IF('Profit and Loss'!B10=0,0,B10/'Profit and Loss'!B10)</f>
        <v>0.4</v>
      </c>
    </row>
    <row r="14" customFormat="false" ht="15" hidden="false" customHeight="false" outlineLevel="0" collapsed="false">
      <c r="A14" s="2" t="s">
        <v>113</v>
      </c>
      <c r="B14" s="19" t="n">
        <f aca="false">IF('Profit and Loss'!B10=0,0,B11/'Profit and Loss'!B10)</f>
        <v>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9" t="s">
        <v>37</v>
      </c>
      <c r="B4" s="10" t="s">
        <v>56</v>
      </c>
    </row>
    <row r="6" customFormat="false" ht="15" hidden="false" customHeight="false" outlineLevel="0" collapsed="false">
      <c r="A6" s="4" t="s">
        <v>116</v>
      </c>
      <c r="B6" s="20" t="n">
        <f aca="false">'Balance Sheet'!B9</f>
        <v>1840000</v>
      </c>
    </row>
    <row r="7" customFormat="false" ht="15" hidden="false" customHeight="false" outlineLevel="0" collapsed="false">
      <c r="A7" s="4" t="s">
        <v>117</v>
      </c>
      <c r="B7" s="20" t="n">
        <f aca="false">'Balance Sheet'!B8</f>
        <v>200000</v>
      </c>
    </row>
    <row r="8" customFormat="false" ht="15" hidden="false" customHeight="false" outlineLevel="0" collapsed="false">
      <c r="A8" s="5" t="s">
        <v>118</v>
      </c>
      <c r="B8" s="15" t="n">
        <f aca="false">B6-B7</f>
        <v>1640000</v>
      </c>
    </row>
    <row r="10" customFormat="false" ht="15" hidden="false" customHeight="false" outlineLevel="0" collapsed="false">
      <c r="A10" s="4" t="s">
        <v>119</v>
      </c>
      <c r="B10" s="20" t="n">
        <f aca="false">'Cash Flow'!B24</f>
        <v>160000</v>
      </c>
    </row>
    <row r="11" customFormat="false" ht="15" hidden="false" customHeight="false" outlineLevel="0" collapsed="false">
      <c r="A11" s="4" t="s">
        <v>120</v>
      </c>
      <c r="B11" s="11" t="n">
        <v>165000</v>
      </c>
    </row>
    <row r="12" customFormat="false" ht="15" hidden="false" customHeight="false" outlineLevel="0" collapsed="false">
      <c r="A12" s="4" t="s">
        <v>121</v>
      </c>
      <c r="B12" s="11" t="n">
        <v>157000</v>
      </c>
    </row>
    <row r="13" customFormat="false" ht="15" hidden="false" customHeight="false" outlineLevel="0" collapsed="false">
      <c r="A13" s="5" t="s">
        <v>122</v>
      </c>
      <c r="B13" s="15" t="n">
        <f aca="false">AVERAGE(B10:B12)</f>
        <v>160666.666666667</v>
      </c>
    </row>
    <row r="15" customFormat="false" ht="15" hidden="false" customHeight="false" outlineLevel="0" collapsed="false">
      <c r="A15" s="12" t="s">
        <v>123</v>
      </c>
      <c r="B15" s="21" t="n">
        <f aca="false">IF(B13&lt;=0,"",B8/B13)</f>
        <v>10.2074688796681</v>
      </c>
    </row>
    <row r="17" customFormat="false" ht="15" hidden="false" customHeight="false" outlineLevel="0" collapsed="false">
      <c r="A17" s="2" t="s">
        <v>124</v>
      </c>
      <c r="B17" s="22" t="n">
        <v>4</v>
      </c>
    </row>
    <row r="18" customFormat="false" ht="15" hidden="false" customHeight="false" outlineLevel="0" collapsed="false">
      <c r="A18" s="5" t="s">
        <v>125</v>
      </c>
      <c r="B18" s="23" t="str">
        <f aca="false">IF(B15="","not calculable",IF(B15&lt;B17,"BELOW THRESHOLD","OK"))</f>
        <v>OK</v>
      </c>
    </row>
    <row r="20" customFormat="false" ht="15" hidden="false" customHeight="false" outlineLevel="0" collapsed="false">
      <c r="A20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5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9" t="s">
        <v>129</v>
      </c>
      <c r="B4" s="10" t="s">
        <v>130</v>
      </c>
      <c r="C4" s="10" t="s">
        <v>131</v>
      </c>
      <c r="D4" s="10" t="s">
        <v>132</v>
      </c>
    </row>
    <row r="5" customFormat="false" ht="15" hidden="false" customHeight="false" outlineLevel="0" collapsed="false">
      <c r="A5" s="4" t="s">
        <v>133</v>
      </c>
      <c r="B5" s="20" t="n">
        <f aca="false">'Balance Sheet'!B13</f>
        <v>3280000</v>
      </c>
      <c r="C5" s="20" t="n">
        <f aca="false">'Balance Sheet'!B21</f>
        <v>3280000</v>
      </c>
      <c r="D5" s="24" t="str">
        <f aca="false">IF(ABS(B5-C5)&lt;1,"PASS","FAIL")</f>
        <v>PASS</v>
      </c>
    </row>
    <row r="6" customFormat="false" ht="15" hidden="false" customHeight="false" outlineLevel="0" collapsed="false">
      <c r="A6" s="4" t="s">
        <v>134</v>
      </c>
      <c r="B6" s="20" t="n">
        <f aca="false">'Working Capital'!B11</f>
        <v>920000</v>
      </c>
      <c r="C6" s="20" t="n">
        <f aca="false">'Balance Sheet'!B10</f>
        <v>920000</v>
      </c>
      <c r="D6" s="24" t="str">
        <f aca="false">IF(ABS(B6-C6)&lt;1,"PASS","FAIL")</f>
        <v>PASS</v>
      </c>
    </row>
    <row r="7" customFormat="false" ht="15" hidden="false" customHeight="false" outlineLevel="0" collapsed="false">
      <c r="A7" s="4" t="s">
        <v>135</v>
      </c>
      <c r="B7" s="20" t="n">
        <f aca="false">'Cash Flow'!B21</f>
        <v>1840000</v>
      </c>
      <c r="C7" s="20" t="n">
        <f aca="false">'Balance Sheet'!B9</f>
        <v>1840000</v>
      </c>
      <c r="D7" s="24" t="str">
        <f aca="false">IF(ABS(B7-C7)&lt;1,"PASS","FAIL")</f>
        <v>PASS</v>
      </c>
    </row>
    <row r="8" customFormat="false" ht="15" hidden="false" customHeight="false" outlineLevel="0" collapsed="false">
      <c r="A8" s="4" t="s">
        <v>136</v>
      </c>
      <c r="B8" s="20" t="n">
        <f aca="false">'Working Capital'!B18</f>
        <v>690000</v>
      </c>
      <c r="C8" s="20" t="n">
        <f aca="false">'Cash Flow'!B9</f>
        <v>690000</v>
      </c>
      <c r="D8" s="24" t="str">
        <f aca="false">IF(ABS(B8-C8)&lt;1,"PASS","FAIL")</f>
        <v>PASS</v>
      </c>
    </row>
    <row r="9" customFormat="false" ht="15" hidden="false" customHeight="false" outlineLevel="0" collapsed="false">
      <c r="A9" s="4" t="s">
        <v>137</v>
      </c>
      <c r="B9" s="20" t="n">
        <f aca="false">Customers!B10</f>
        <v>284000</v>
      </c>
      <c r="C9" s="20" t="n">
        <f aca="false">Customers!B11</f>
        <v>553800</v>
      </c>
      <c r="D9" s="24" t="str">
        <f aca="false">IF(AND(B9&lt;=C9,C9&lt;='Profit and Loss'!B10),"PASS","FAIL")</f>
        <v>PASS</v>
      </c>
    </row>
    <row r="11" customFormat="false" ht="15" hidden="false" customHeight="false" outlineLevel="0" collapsed="false">
      <c r="A11" s="25" t="s">
        <v>138</v>
      </c>
      <c r="B11" s="26"/>
      <c r="C11" s="26"/>
      <c r="D11" s="27" t="str">
        <f aca="false">IF(COUNTIF(D5:D9,"FAIL")=0,"PASS","FAIL")</f>
        <v>PASS</v>
      </c>
    </row>
    <row r="13" customFormat="false" ht="15" hidden="false" customHeight="false" outlineLevel="0" collapsed="false">
      <c r="A13" s="2" t="s">
        <v>139</v>
      </c>
    </row>
    <row r="14" customFormat="false" ht="15" hidden="false" customHeight="false" outlineLevel="0" collapsed="false">
      <c r="A14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15" hidden="false" customHeight="false" outlineLevel="0" collapsed="false">
      <c r="A4" s="9" t="s">
        <v>143</v>
      </c>
      <c r="B4" s="10" t="s">
        <v>144</v>
      </c>
      <c r="C4" s="10" t="s">
        <v>145</v>
      </c>
    </row>
    <row r="5" customFormat="false" ht="15" hidden="false" customHeight="false" outlineLevel="0" collapsed="false">
      <c r="A5" s="5" t="s">
        <v>146</v>
      </c>
      <c r="B5" s="28" t="s">
        <v>147</v>
      </c>
      <c r="C5" s="2" t="s">
        <v>148</v>
      </c>
    </row>
    <row r="6" customFormat="false" ht="15" hidden="false" customHeight="false" outlineLevel="0" collapsed="false">
      <c r="A6" s="5" t="s">
        <v>149</v>
      </c>
      <c r="B6" s="28" t="str">
        <f aca="false">'READ ME'!B28</f>
        <v>Xploro Private Limited</v>
      </c>
      <c r="C6" s="2" t="s">
        <v>150</v>
      </c>
    </row>
    <row r="7" customFormat="false" ht="15" hidden="false" customHeight="false" outlineLevel="0" collapsed="false">
      <c r="A7" s="5" t="s">
        <v>151</v>
      </c>
      <c r="B7" s="28" t="str">
        <f aca="false">'READ ME'!B29</f>
        <v>2026-09</v>
      </c>
      <c r="C7" s="2" t="s">
        <v>150</v>
      </c>
    </row>
    <row r="8" customFormat="false" ht="15" hidden="false" customHeight="false" outlineLevel="0" collapsed="false">
      <c r="A8" s="5" t="s">
        <v>152</v>
      </c>
      <c r="B8" s="28" t="str">
        <f aca="false">'READ ME'!B30</f>
        <v>SPARC &amp; Co, Chartered Accountants</v>
      </c>
      <c r="C8" s="2" t="s">
        <v>150</v>
      </c>
    </row>
    <row r="9" customFormat="false" ht="15" hidden="false" customHeight="false" outlineLevel="0" collapsed="false">
      <c r="A9" s="5" t="s">
        <v>153</v>
      </c>
      <c r="B9" s="28" t="str">
        <f aca="false">'READ ME'!B31</f>
        <v>07/10/2026</v>
      </c>
      <c r="C9" s="2" t="s">
        <v>150</v>
      </c>
    </row>
    <row r="10" customFormat="false" ht="15" hidden="false" customHeight="false" outlineLevel="0" collapsed="false">
      <c r="A10" s="5" t="s">
        <v>154</v>
      </c>
      <c r="B10" s="28" t="str">
        <f aca="false">Checks!D11</f>
        <v>PASS</v>
      </c>
      <c r="C10" s="2" t="s">
        <v>155</v>
      </c>
    </row>
    <row r="12" customFormat="false" ht="15" hidden="false" customHeight="false" outlineLevel="0" collapsed="false">
      <c r="A12" s="3" t="s">
        <v>156</v>
      </c>
    </row>
    <row r="13" customFormat="false" ht="15" hidden="false" customHeight="false" outlineLevel="0" collapsed="false">
      <c r="A13" s="5" t="s">
        <v>157</v>
      </c>
      <c r="B13" s="20" t="n">
        <f aca="false">'Cash Flow'!B6</f>
        <v>2000000</v>
      </c>
      <c r="C13" s="2" t="s">
        <v>158</v>
      </c>
    </row>
    <row r="14" customFormat="false" ht="15" hidden="false" customHeight="false" outlineLevel="0" collapsed="false">
      <c r="A14" s="29" t="s">
        <v>159</v>
      </c>
      <c r="B14" s="30" t="n">
        <f aca="false">'Balance Sheet'!B9</f>
        <v>1840000</v>
      </c>
      <c r="C14" s="31" t="s">
        <v>160</v>
      </c>
    </row>
    <row r="15" customFormat="false" ht="15" hidden="false" customHeight="false" outlineLevel="0" collapsed="false">
      <c r="A15" s="5" t="s">
        <v>161</v>
      </c>
      <c r="B15" s="20" t="n">
        <f aca="false">'Balance Sheet'!B8</f>
        <v>200000</v>
      </c>
      <c r="C15" s="2" t="s">
        <v>162</v>
      </c>
    </row>
    <row r="16" customFormat="false" ht="15" hidden="false" customHeight="false" outlineLevel="0" collapsed="false">
      <c r="A16" s="29" t="s">
        <v>163</v>
      </c>
      <c r="B16" s="30" t="n">
        <f aca="false">'Cash Flow'!B23</f>
        <v>870000</v>
      </c>
      <c r="C16" s="31" t="s">
        <v>164</v>
      </c>
    </row>
    <row r="17" customFormat="false" ht="15" hidden="false" customHeight="false" outlineLevel="0" collapsed="false">
      <c r="A17" s="5" t="s">
        <v>165</v>
      </c>
      <c r="B17" s="20" t="n">
        <f aca="false">'Cash Flow'!B24</f>
        <v>160000</v>
      </c>
      <c r="C17" s="2" t="s">
        <v>166</v>
      </c>
    </row>
    <row r="18" customFormat="false" ht="15" hidden="false" customHeight="false" outlineLevel="0" collapsed="false">
      <c r="A18" s="29" t="s">
        <v>167</v>
      </c>
      <c r="B18" s="30" t="n">
        <f aca="false">'Profit and Loss'!B20</f>
        <v>805000</v>
      </c>
      <c r="C18" s="31" t="s">
        <v>168</v>
      </c>
    </row>
    <row r="19" customFormat="false" ht="15" hidden="false" customHeight="false" outlineLevel="0" collapsed="false">
      <c r="A19" s="5" t="s">
        <v>169</v>
      </c>
      <c r="B19" s="20" t="n">
        <f aca="false">'Profit and Loss'!B10</f>
        <v>710000</v>
      </c>
      <c r="C19" s="2" t="s">
        <v>170</v>
      </c>
    </row>
    <row r="20" customFormat="false" ht="15" hidden="false" customHeight="false" outlineLevel="0" collapsed="false">
      <c r="A20" s="29" t="s">
        <v>171</v>
      </c>
      <c r="B20" s="30" t="n">
        <f aca="false">'Profit and Loss'!B7</f>
        <v>210000</v>
      </c>
      <c r="C20" s="31" t="s">
        <v>172</v>
      </c>
    </row>
    <row r="21" customFormat="false" ht="15" hidden="false" customHeight="false" outlineLevel="0" collapsed="false">
      <c r="A21" s="5" t="s">
        <v>173</v>
      </c>
      <c r="B21" s="20" t="n">
        <f aca="false">'Profit and Loss'!B8</f>
        <v>340000</v>
      </c>
      <c r="C21" s="2" t="s">
        <v>174</v>
      </c>
    </row>
    <row r="22" customFormat="false" ht="15" hidden="false" customHeight="false" outlineLevel="0" collapsed="false">
      <c r="A22" s="29" t="s">
        <v>175</v>
      </c>
      <c r="B22" s="30" t="n">
        <f aca="false">'Profit and Loss'!B9</f>
        <v>160000</v>
      </c>
      <c r="C22" s="31" t="s">
        <v>176</v>
      </c>
    </row>
    <row r="23" customFormat="false" ht="15" hidden="false" customHeight="false" outlineLevel="0" collapsed="false">
      <c r="A23" s="5" t="s">
        <v>177</v>
      </c>
      <c r="B23" s="20" t="n">
        <f aca="false">'Profit and Loss'!B12</f>
        <v>180000</v>
      </c>
      <c r="C23" s="2" t="s">
        <v>178</v>
      </c>
    </row>
    <row r="24" customFormat="false" ht="15" hidden="false" customHeight="false" outlineLevel="0" collapsed="false">
      <c r="A24" s="29" t="s">
        <v>179</v>
      </c>
      <c r="B24" s="32" t="n">
        <f aca="false">Customers!B6</f>
        <v>14</v>
      </c>
      <c r="C24" s="31" t="s">
        <v>180</v>
      </c>
    </row>
    <row r="25" customFormat="false" ht="15" hidden="false" customHeight="false" outlineLevel="0" collapsed="false">
      <c r="A25" s="5" t="s">
        <v>181</v>
      </c>
      <c r="B25" s="33" t="n">
        <f aca="false">Customers!B7</f>
        <v>2</v>
      </c>
      <c r="C25" s="2" t="s">
        <v>182</v>
      </c>
    </row>
    <row r="26" customFormat="false" ht="15" hidden="false" customHeight="false" outlineLevel="0" collapsed="false">
      <c r="A26" s="29" t="s">
        <v>183</v>
      </c>
      <c r="B26" s="32" t="n">
        <f aca="false">Customers!B8</f>
        <v>1</v>
      </c>
      <c r="C26" s="31" t="s">
        <v>184</v>
      </c>
    </row>
    <row r="27" customFormat="false" ht="15" hidden="false" customHeight="false" outlineLevel="0" collapsed="false">
      <c r="A27" s="5" t="s">
        <v>185</v>
      </c>
      <c r="B27" s="20" t="n">
        <f aca="false">Customers!B10</f>
        <v>284000</v>
      </c>
      <c r="C27" s="2" t="s">
        <v>186</v>
      </c>
    </row>
    <row r="28" customFormat="false" ht="15" hidden="false" customHeight="false" outlineLevel="0" collapsed="false">
      <c r="A28" s="29" t="s">
        <v>187</v>
      </c>
      <c r="B28" s="30" t="n">
        <f aca="false">Customers!B11</f>
        <v>553800</v>
      </c>
      <c r="C28" s="31" t="s">
        <v>188</v>
      </c>
    </row>
    <row r="29" customFormat="false" ht="15" hidden="false" customHeight="false" outlineLevel="0" collapsed="false">
      <c r="A29" s="5" t="s">
        <v>189</v>
      </c>
      <c r="B29" s="20" t="n">
        <f aca="false">'Working Capital'!B11</f>
        <v>920000</v>
      </c>
      <c r="C29" s="2" t="s">
        <v>190</v>
      </c>
    </row>
    <row r="30" customFormat="false" ht="15" hidden="false" customHeight="false" outlineLevel="0" collapsed="false">
      <c r="A30" s="29" t="s">
        <v>191</v>
      </c>
      <c r="B30" s="30" t="n">
        <f aca="false">'Working Capital'!B7</f>
        <v>410000</v>
      </c>
      <c r="C30" s="31" t="s">
        <v>192</v>
      </c>
    </row>
    <row r="31" customFormat="false" ht="15" hidden="false" customHeight="false" outlineLevel="0" collapsed="false">
      <c r="A31" s="5" t="s">
        <v>193</v>
      </c>
      <c r="B31" s="20" t="n">
        <f aca="false">'Working Capital'!B8</f>
        <v>260000</v>
      </c>
      <c r="C31" s="2" t="s">
        <v>194</v>
      </c>
    </row>
    <row r="32" customFormat="false" ht="15" hidden="false" customHeight="false" outlineLevel="0" collapsed="false">
      <c r="A32" s="29" t="s">
        <v>195</v>
      </c>
      <c r="B32" s="30" t="n">
        <f aca="false">'Working Capital'!B9</f>
        <v>140000</v>
      </c>
      <c r="C32" s="31" t="s">
        <v>196</v>
      </c>
    </row>
    <row r="33" customFormat="false" ht="15" hidden="false" customHeight="false" outlineLevel="0" collapsed="false">
      <c r="A33" s="5" t="s">
        <v>197</v>
      </c>
      <c r="B33" s="20" t="n">
        <f aca="false">'Working Capital'!B10</f>
        <v>110000</v>
      </c>
      <c r="C33" s="2" t="s">
        <v>198</v>
      </c>
    </row>
    <row r="34" customFormat="false" ht="15" hidden="false" customHeight="false" outlineLevel="0" collapsed="false">
      <c r="A34" s="29" t="s">
        <v>199</v>
      </c>
      <c r="B34" s="30" t="n">
        <f aca="false">'Working Capital'!B14</f>
        <v>430000</v>
      </c>
      <c r="C34" s="31" t="s">
        <v>200</v>
      </c>
    </row>
    <row r="35" customFormat="false" ht="15" hidden="false" customHeight="false" outlineLevel="0" collapsed="false">
      <c r="A35" s="5" t="s">
        <v>201</v>
      </c>
      <c r="B35" s="20" t="n">
        <f aca="false">'Working Capital'!B17</f>
        <v>840000</v>
      </c>
      <c r="C35" s="2" t="s">
        <v>202</v>
      </c>
    </row>
    <row r="36" customFormat="false" ht="15" hidden="false" customHeight="false" outlineLevel="0" collapsed="false">
      <c r="A36" s="29" t="s">
        <v>203</v>
      </c>
      <c r="B36" s="30" t="n">
        <f aca="false">'Working Capital'!B18</f>
        <v>690000</v>
      </c>
      <c r="C36" s="31" t="s">
        <v>204</v>
      </c>
    </row>
    <row r="38" customFormat="false" ht="15" hidden="false" customHeight="false" outlineLevel="0" collapsed="false">
      <c r="A38" s="2" t="s">
        <v>205</v>
      </c>
    </row>
    <row r="39" customFormat="false" ht="15" hidden="false" customHeight="false" outlineLevel="0" collapsed="false">
      <c r="A39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2026-09-08T11:56:17Z</dcterms:created>
  <dc:creator>openpyxl</dc:creator>
  <dc:description/>
  <dc:language>en-US</dc:language>
  <cp:lastModifiedBy/>
  <dcterms:modified xsi:type="dcterms:W3CDTF">2026-09-08T11:56:17Z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