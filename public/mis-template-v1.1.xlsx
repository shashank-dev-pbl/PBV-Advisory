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READ ME" state="visible" r:id="rId4"/>
    <sheet sheetId="2" name="Profit and Loss" state="visible" r:id="rId5"/>
    <sheet sheetId="3" name="Balance Sheet" state="visible" r:id="rId6"/>
    <sheet sheetId="4" name="Cash Flow" state="visible" r:id="rId7"/>
    <sheet sheetId="5" name="Working Capital" state="visible" r:id="rId8"/>
    <sheet sheetId="6" name="Customers" state="visible" r:id="rId9"/>
    <sheet sheetId="7" name="Burn and Runway" state="visible" r:id="rId10"/>
    <sheet sheetId="8" name="Checks" state="visible" r:id="rId11"/>
    <sheet sheetId="9" name="PBA-DATA" state="visible" r:id="rId12"/>
    <sheet sheetId="10" name="Tax and People" state="visible" r:id="rId13"/>
  </sheets>
  <definedNames>
    <definedName name="pba_billed_month">'PBA-DATA'!$B$35</definedName>
    <definedName name="pba_cash_closing">'PBA-DATA'!$B$14</definedName>
    <definedName name="pba_cash_opening">'PBA-DATA'!$B$13</definedName>
    <definedName name="pba_cash_restricted">'PBA-DATA'!$B$15</definedName>
    <definedName name="pba_clients_active">'PBA-DATA'!$B$24</definedName>
    <definedName name="pba_clients_added">'PBA-DATA'!$B$25</definedName>
    <definedName name="pba_clients_lost">'PBA-DATA'!$B$26</definedName>
    <definedName name="pba_collections_month">'PBA-DATA'!$B$36</definedName>
    <definedName name="pba_expenses_accrual">'PBA-DATA'!$B$18</definedName>
    <definedName name="pba_gross_burn">'PBA-DATA'!$B$16</definedName>
    <definedName name="pba_net_burn">'PBA-DATA'!$B$17</definedName>
    <definedName name="pba_partner_share_paid">'PBA-DATA'!$B$23</definedName>
    <definedName name="pba_payables_total">'PBA-DATA'!$B$34</definedName>
    <definedName name="pba_receivables_0_30">'PBA-DATA'!$B$30</definedName>
    <definedName name="pba_receivables_31_60">'PBA-DATA'!$B$31</definedName>
    <definedName name="pba_receivables_61_90">'PBA-DATA'!$B$32</definedName>
    <definedName name="pba_receivables_90_plus">'PBA-DATA'!$B$33</definedName>
    <definedName name="pba_receivables_total">'PBA-DATA'!$B$29</definedName>
    <definedName name="pba_revenue_project">'PBA-DATA'!$B$22</definedName>
    <definedName name="pba_revenue_service">'PBA-DATA'!$B$21</definedName>
    <definedName name="pba_revenue_subscription">'PBA-DATA'!$B$20</definedName>
    <definedName name="pba_revenue_total">'PBA-DATA'!$B$19</definedName>
    <definedName name="pba_top5_client_revenue">'PBA-DATA'!$B$28</definedName>
    <definedName name="pba_top_client_revenue">'PBA-DATA'!$B$27</definedName>
    <definedName name="pba_gst_output">'PBA-DATA'!$B$39</definedName>
    <definedName name="pba_gst_itc">'PBA-DATA'!$B$40</definedName>
    <definedName name="pba_gst_paid_cash">'PBA-DATA'!$B$41</definedName>
    <definedName name="pba_igst">'PBA-DATA'!$B$42</definedName>
    <definedName name="pba_cgst">'PBA-DATA'!$B$43</definedName>
    <definedName name="pba_sgst">'PBA-DATA'!$B$44</definedName>
    <definedName name="pba_tds_salary">'PBA-DATA'!$B$45</definedName>
    <definedName name="pba_tds_vendor">'PBA-DATA'!$B$46</definedName>
    <definedName name="pba_tds_rent">'PBA-DATA'!$B$47</definedName>
    <definedName name="pba_pt_paid">'PBA-DATA'!$B$48</definedName>
    <definedName name="pba_interest_fees">'PBA-DATA'!$B$49</definedName>
    <definedName name="pba_employees">'PBA-DATA'!$B$50</definedName>
    <definedName name="pba_contractors">'PBA-DATA'!$B$51</definedName>
    <definedName name="pba_notices_open">'PBA-DATA'!$B$52</definedName>
    <definedName name="pba_exp_salaries">'PBA-DATA'!$B$53</definedName>
    <definedName name="pba_exp_contractors">'PBA-DATA'!$B$54</definedName>
    <definedName name="pba_exp_cloud">'PBA-DATA'!$B$55</definedName>
    <definedName name="pba_exp_marketing">'PBA-DATA'!$B$56</definedName>
    <definedName name="pba_exp_rent">'PBA-DATA'!$B$57</definedName>
    <definedName name="pba_exp_travel">'PBA-DATA'!$B$58</definedName>
    <definedName name="pba_exp_software">'PBA-DATA'!$B$59</definedName>
    <definedName name="pba_exp_other">'PBA-DATA'!$B$60</definedName>
    <definedName name="pba_interest_note">'PBA-DATA'!$B$61</definedName>
  </definedNames>
  <calcPr calcId="171027"/>
</workbook>
</file>

<file path=xl/sharedStrings.xml><?xml version="1.0" encoding="utf-8"?>
<sst xmlns="http://schemas.openxmlformats.org/spreadsheetml/2006/main" count="297" uniqueCount="275">
  <si>
    <t>Xploro — Monthly MIS</t>
  </si>
  <si>
    <t>Prime Bottomline Advisory · template version 1.0</t>
  </si>
  <si>
    <t>WHAT THIS FILE IS</t>
  </si>
  <si>
    <t>The agreed monthly management information format for Xploro Private Limited.</t>
  </si>
  <si>
    <t>One file per month, uploaded to the PBA advisory portal by day 7.</t>
  </si>
  <si>
    <t>The format is frozen. Please do not insert, delete or rename sheets, rows or columns.</t>
  </si>
  <si>
    <t>WHY THE FORMAT MATTERS</t>
  </si>
  <si>
    <t>The portal reads twenty-four figures straight out of this workbook and shows them</t>
  </si>
  <si>
    <t>to the founder. It finds them on the PBA-DATA sheet, which fills itself from the</t>
  </si>
  <si>
    <t>sheets you complete. Nobody retypes anything.</t>
  </si>
  <si>
    <t>If the structure changes, those cells break and the month cannot be published.</t>
  </si>
  <si>
    <t>HOW TO USE IT</t>
  </si>
  <si>
    <t>1. Fill every yellow cell. Yellow means 'type here'.</t>
  </si>
  <si>
    <t>2. Leave every white cell alone. Those are calculated.</t>
  </si>
  <si>
    <t>3. Open the CHECKS sheet. All five must read PASS.</t>
  </si>
  <si>
    <t>4. Save as: Xploro-MIS-YYYY-MM.xlsx  (e.g. Xploro-MIS-2026-09.xlsx)</t>
  </si>
  <si>
    <t>5. Upload to the portal against that month.</t>
  </si>
  <si>
    <t>COLOUR LEGEND</t>
  </si>
  <si>
    <t>Yellow fill, blue text    — you type this</t>
  </si>
  <si>
    <t>White, black text          — calculated on this sheet, do not edit</t>
  </si>
  <si>
    <t>White, green text          — pulled from another sheet, do not edit</t>
  </si>
  <si>
    <t>THIS MONTH</t>
  </si>
  <si>
    <t>Company</t>
  </si>
  <si>
    <t>Xploro Private Limited</t>
  </si>
  <si>
    <t>Month (YYYY-MM)</t>
  </si>
  <si>
    <t>2026-09</t>
  </si>
  <si>
    <t>Prepared by</t>
  </si>
  <si>
    <t>SPARC &amp; Co, Chartered Accountants</t>
  </si>
  <si>
    <t>Prepared on</t>
  </si>
  <si>
    <t>07/10/2026</t>
  </si>
  <si>
    <t>NOTE</t>
  </si>
  <si>
    <t>The September 2026 figures in this file are an illustrative example.</t>
  </si>
  <si>
    <t>Overwrite every yellow cell with the real month's numbers.</t>
  </si>
  <si>
    <t>Questions</t>
  </si>
  <si>
    <t>Swetha, Prime Bottomline Advisory</t>
  </si>
  <si>
    <t>Profit and Loss</t>
  </si>
  <si>
    <t>All figures exclude GST. Revenue is stated net of partner shares.</t>
  </si>
  <si>
    <t>Line</t>
  </si>
  <si>
    <t>This month</t>
  </si>
  <si>
    <t>Last month</t>
  </si>
  <si>
    <t>REVENUE  (net of revenue-share partners)</t>
  </si>
  <si>
    <t>Subscription</t>
  </si>
  <si>
    <t>Service</t>
  </si>
  <si>
    <t>Project</t>
  </si>
  <si>
    <t>Net revenue</t>
  </si>
  <si>
    <t>Paid or accrued to revenue-share partners</t>
  </si>
  <si>
    <t>Memo: gross revenue before partner share</t>
  </si>
  <si>
    <t>EXPENSES  (accrual basis, excluding GST)</t>
  </si>
  <si>
    <t>Personnel</t>
  </si>
  <si>
    <t>Infrastructure, cloud and software</t>
  </si>
  <si>
    <t>Direct delivery cost</t>
  </si>
  <si>
    <t>Other operating expenses</t>
  </si>
  <si>
    <t>Total expenses</t>
  </si>
  <si>
    <t>Operating profit / (loss)</t>
  </si>
  <si>
    <t>Balance Sheet</t>
  </si>
  <si>
    <t>As at the last day of the month.</t>
  </si>
  <si>
    <t>Amount</t>
  </si>
  <si>
    <t>ASSETS</t>
  </si>
  <si>
    <t>Cash and bank — freely available</t>
  </si>
  <si>
    <t>Cash and bank — restricted (FD, lien-marked, deposits)</t>
  </si>
  <si>
    <t>Total cash and bank</t>
  </si>
  <si>
    <t>Trade receivables</t>
  </si>
  <si>
    <t>Other current assets</t>
  </si>
  <si>
    <t>Fixed assets, net</t>
  </si>
  <si>
    <t>Total assets</t>
  </si>
  <si>
    <t>LIABILITIES AND EQUITY</t>
  </si>
  <si>
    <t>Trade payables</t>
  </si>
  <si>
    <t>Statutory dues payable</t>
  </si>
  <si>
    <t>Borrowings</t>
  </si>
  <si>
    <t>Other current liabilities</t>
  </si>
  <si>
    <t>Share capital and reserves</t>
  </si>
  <si>
    <t>Total liabilities and equity</t>
  </si>
  <si>
    <t>Total assets less total liabilities and equity — must be nil</t>
  </si>
  <si>
    <t>Cash Flow</t>
  </si>
  <si>
    <t>Actual money in and out of the bank accounts during the month.</t>
  </si>
  <si>
    <t>Opening cash and bank, day 1</t>
  </si>
  <si>
    <t>MONEY IN</t>
  </si>
  <si>
    <t>Collections from customers</t>
  </si>
  <si>
    <t>Other receipts</t>
  </si>
  <si>
    <t>Total money in</t>
  </si>
  <si>
    <t>MONEY OUT</t>
  </si>
  <si>
    <t>Payroll</t>
  </si>
  <si>
    <t>Vendors and operating</t>
  </si>
  <si>
    <t>Statutory payments</t>
  </si>
  <si>
    <t>Other payments</t>
  </si>
  <si>
    <t>Total money out</t>
  </si>
  <si>
    <t>Net movement in the month</t>
  </si>
  <si>
    <t>Closing cash and bank, last day</t>
  </si>
  <si>
    <t>Memo: gross burn — everything that left the bank</t>
  </si>
  <si>
    <t>Memo: net burn — money out less money in</t>
  </si>
  <si>
    <t>Working Capital</t>
  </si>
  <si>
    <t>Receivables, payables and how well the month collected.</t>
  </si>
  <si>
    <t>RECEIVABLES BY AGE</t>
  </si>
  <si>
    <t>0 to 30 days</t>
  </si>
  <si>
    <t>31 to 60 days</t>
  </si>
  <si>
    <t>61 to 90 days</t>
  </si>
  <si>
    <t>Over 90 days</t>
  </si>
  <si>
    <t>Total receivables</t>
  </si>
  <si>
    <t>PAYABLES</t>
  </si>
  <si>
    <t>Trade payables at month end</t>
  </si>
  <si>
    <t>THE MONTH'S BILLING AND COLLECTION</t>
  </si>
  <si>
    <t>Total billed this month, including GST</t>
  </si>
  <si>
    <t>Total collected this month</t>
  </si>
  <si>
    <t>Memo: collection efficiency</t>
  </si>
  <si>
    <t>Memo: days to collect</t>
  </si>
  <si>
    <t>Customers</t>
  </si>
  <si>
    <t>Client count and revenue concentration for the month.</t>
  </si>
  <si>
    <t>Paying clients at month end</t>
  </si>
  <si>
    <t>New clients won this month</t>
  </si>
  <si>
    <t>Clients lost this month</t>
  </si>
  <si>
    <t>Revenue from the single largest client</t>
  </si>
  <si>
    <t>Revenue from the five largest clients combined</t>
  </si>
  <si>
    <t>Memo: largest client as a share of revenue</t>
  </si>
  <si>
    <t>Memo: top five as a share of revenue</t>
  </si>
  <si>
    <t>Burn and Runway</t>
  </si>
  <si>
    <t>How fast the cash is going and how long it lasts.</t>
  </si>
  <si>
    <t>Cash and bank at month end</t>
  </si>
  <si>
    <t>Less: restricted balances</t>
  </si>
  <si>
    <t>Cash freely available</t>
  </si>
  <si>
    <t>Net burn this month</t>
  </si>
  <si>
    <t>Net burn last month</t>
  </si>
  <si>
    <t>Net burn two months ago</t>
  </si>
  <si>
    <t>Average net burn, last three months</t>
  </si>
  <si>
    <t>Runway in months</t>
  </si>
  <si>
    <t>Alert threshold agreed with the client</t>
  </si>
  <si>
    <t>Status</t>
  </si>
  <si>
    <t>If this reads BELOW THRESHOLD the portal alerts the founder and PBA on publish.</t>
  </si>
  <si>
    <t>Checks</t>
  </si>
  <si>
    <t>All five must read PASS before this file is uploaded.</t>
  </si>
  <si>
    <t>Check</t>
  </si>
  <si>
    <t>Value A</t>
  </si>
  <si>
    <t>Value B</t>
  </si>
  <si>
    <t>Result</t>
  </si>
  <si>
    <t>Balance sheet balances</t>
  </si>
  <si>
    <t>Receivables ageing ties to the balance sheet</t>
  </si>
  <si>
    <t>Closing cash ties to the balance sheet</t>
  </si>
  <si>
    <t>Collections agree across sheets</t>
  </si>
  <si>
    <t>Largest client does not exceed top five, top five does not exceed revenue</t>
  </si>
  <si>
    <t>ALL CHECKS</t>
  </si>
  <si>
    <t>A FAIL does not mean the numbers are wrong — it means two sheets disagree</t>
  </si>
  <si>
    <t>and one of them needs correcting before the month can be published.</t>
  </si>
  <si>
    <t>PBA-DATA</t>
  </si>
  <si>
    <t>Do not edit this sheet. It fills itself and the portal reads it.</t>
  </si>
  <si>
    <t>Field</t>
  </si>
  <si>
    <t>Value</t>
  </si>
  <si>
    <t>Where it comes from</t>
  </si>
  <si>
    <t>template_version</t>
  </si>
  <si>
    <t>1.1</t>
  </si>
  <si>
    <t>Fixed. The portal refuses a version it does not know</t>
  </si>
  <si>
    <t>company_name</t>
  </si>
  <si>
    <t>READ ME sheet</t>
  </si>
  <si>
    <t>period</t>
  </si>
  <si>
    <t>prepared_by</t>
  </si>
  <si>
    <t>prepared_on</t>
  </si>
  <si>
    <t>checks_all_pass</t>
  </si>
  <si>
    <t>Checks sheet — must be PASS to publish</t>
  </si>
  <si>
    <t>THE TWENTY-FOUR FIGURES</t>
  </si>
  <si>
    <t>cash_opening</t>
  </si>
  <si>
    <t>Cash Flow — opening cash and bank</t>
  </si>
  <si>
    <t>cash_closing</t>
  </si>
  <si>
    <t>Balance Sheet — total cash and bank</t>
  </si>
  <si>
    <t>cash_restricted</t>
  </si>
  <si>
    <t>Balance Sheet — restricted balances</t>
  </si>
  <si>
    <t>gross_burn</t>
  </si>
  <si>
    <t>Cash Flow — total money out</t>
  </si>
  <si>
    <t>net_burn</t>
  </si>
  <si>
    <t>Cash Flow — money out less money in</t>
  </si>
  <si>
    <t>expenses_accrual</t>
  </si>
  <si>
    <t>Profit and Loss — total expenses</t>
  </si>
  <si>
    <t>revenue_total</t>
  </si>
  <si>
    <t>Profit and Loss — net revenue</t>
  </si>
  <si>
    <t>revenue_subscription</t>
  </si>
  <si>
    <t>Profit and Loss — subscription</t>
  </si>
  <si>
    <t>revenue_service</t>
  </si>
  <si>
    <t>Profit and Loss — service</t>
  </si>
  <si>
    <t>revenue_project</t>
  </si>
  <si>
    <t>Profit and Loss — project</t>
  </si>
  <si>
    <t>partner_share_paid</t>
  </si>
  <si>
    <t>Profit and Loss — paid to partners</t>
  </si>
  <si>
    <t>clients_active</t>
  </si>
  <si>
    <t>Customers — paying clients at month end</t>
  </si>
  <si>
    <t>clients_added</t>
  </si>
  <si>
    <t>Customers — won this month</t>
  </si>
  <si>
    <t>clients_lost</t>
  </si>
  <si>
    <t>Customers — lost this month</t>
  </si>
  <si>
    <t>top_client_revenue</t>
  </si>
  <si>
    <t>Customers — largest client</t>
  </si>
  <si>
    <t>top5_client_revenue</t>
  </si>
  <si>
    <t>Customers — five largest combined</t>
  </si>
  <si>
    <t>receivables_total</t>
  </si>
  <si>
    <t>Working Capital — total receivables</t>
  </si>
  <si>
    <t>receivables_0_30</t>
  </si>
  <si>
    <t>Working Capital — 0 to 30 days</t>
  </si>
  <si>
    <t>receivables_31_60</t>
  </si>
  <si>
    <t>Working Capital — 31 to 60 days</t>
  </si>
  <si>
    <t>receivables_61_90</t>
  </si>
  <si>
    <t>Working Capital — 61 to 90 days</t>
  </si>
  <si>
    <t>receivables_90_plus</t>
  </si>
  <si>
    <t>Working Capital — over 90 days</t>
  </si>
  <si>
    <t>payables_total</t>
  </si>
  <si>
    <t>Working Capital — trade payables</t>
  </si>
  <si>
    <t>billed_month</t>
  </si>
  <si>
    <t>Working Capital — billed this month</t>
  </si>
  <si>
    <t>collections_month</t>
  </si>
  <si>
    <t>Working Capital — collected this month</t>
  </si>
  <si>
    <t>THE EXTRA FIGURES (template 1.1)</t>
  </si>
  <si>
    <t>gst_output</t>
  </si>
  <si>
    <t>gst_itc</t>
  </si>
  <si>
    <t>gst_paid_cash</t>
  </si>
  <si>
    <t>igst</t>
  </si>
  <si>
    <t>cgst</t>
  </si>
  <si>
    <t>sgst</t>
  </si>
  <si>
    <t>tds_salary</t>
  </si>
  <si>
    <t>tds_vendor</t>
  </si>
  <si>
    <t>tds_rent</t>
  </si>
  <si>
    <t>pt_paid</t>
  </si>
  <si>
    <t>interest_fees</t>
  </si>
  <si>
    <t>employees</t>
  </si>
  <si>
    <t>contractors</t>
  </si>
  <si>
    <t>notices_open</t>
  </si>
  <si>
    <t>exp_salaries</t>
  </si>
  <si>
    <t>exp_contractors</t>
  </si>
  <si>
    <t>exp_cloud</t>
  </si>
  <si>
    <t>exp_marketing</t>
  </si>
  <si>
    <t>exp_rent</t>
  </si>
  <si>
    <t>exp_travel</t>
  </si>
  <si>
    <t>exp_software</t>
  </si>
  <si>
    <t>exp_other</t>
  </si>
  <si>
    <t>interest_note</t>
  </si>
  <si>
    <t>If any cell above shows a reference error, the structure has been changed</t>
  </si>
  <si>
    <t>and the month cannot be published. Restore the template and re-enter.</t>
  </si>
  <si>
    <t>Tax and People</t>
  </si>
  <si>
    <t>Fill the amber cells for the month, in rupees. These feed the taxes, team and expense sections of the dashboard.</t>
  </si>
  <si>
    <t>Figure</t>
  </si>
  <si>
    <t>GST charged on sales (output tax)</t>
  </si>
  <si>
    <t>From the GST working: total output tax for the month, all GSTINs.</t>
  </si>
  <si>
    <t>GST credit used (input tax credit)</t>
  </si>
  <si>
    <t>Credit set off against the output tax in GSTR-3B.</t>
  </si>
  <si>
    <t>GST paid in cash</t>
  </si>
  <si>
    <t>Output tax less credit: the GSTR-3B challan amount.</t>
  </si>
  <si>
    <t>IGST (output)</t>
  </si>
  <si>
    <t>Output tax on sales to other states.</t>
  </si>
  <si>
    <t>CGST (output)</t>
  </si>
  <si>
    <t>Output tax on sales within the state, central half.</t>
  </si>
  <si>
    <t>SGST (output)</t>
  </si>
  <si>
    <t>Output tax on sales within the state, state half.</t>
  </si>
  <si>
    <t>TDS deposited — salaries</t>
  </si>
  <si>
    <t>Section 192, from the TDS challan.</t>
  </si>
  <si>
    <t>TDS deposited — vendors and professionals</t>
  </si>
  <si>
    <t>Sections 194C, 194J and similar.</t>
  </si>
  <si>
    <t>TDS deposited — rent</t>
  </si>
  <si>
    <t>Section 194-I.</t>
  </si>
  <si>
    <t>Professional tax paid</t>
  </si>
  <si>
    <t>From the professional tax challan. 0 if none was due this month.</t>
  </si>
  <si>
    <t>Interest and late fees paid</t>
  </si>
  <si>
    <t>Anything paid only because a filing or payment was late. 0 if none.</t>
  </si>
  <si>
    <t>Employees on payroll at month end</t>
  </si>
  <si>
    <t>From the payroll register.</t>
  </si>
  <si>
    <t>Contractors paid in the month</t>
  </si>
  <si>
    <t>From the contractor payments.</t>
  </si>
  <si>
    <t>Open government notices</t>
  </si>
  <si>
    <t>GST, income tax or ROC letters still needing a reply.</t>
  </si>
  <si>
    <t>Expenses — salaries</t>
  </si>
  <si>
    <t>From the P&amp;L. The eight heads must add up to total expenses.</t>
  </si>
  <si>
    <t>Expenses — contractors</t>
  </si>
  <si>
    <t/>
  </si>
  <si>
    <t>Expenses — cloud and AI tools</t>
  </si>
  <si>
    <t>Expenses — marketing</t>
  </si>
  <si>
    <t>Expenses — office rent</t>
  </si>
  <si>
    <t>Expenses — travel</t>
  </si>
  <si>
    <t>Expenses — software</t>
  </si>
  <si>
    <t>Expenses — everything else</t>
  </si>
  <si>
    <t>Reason for interest or late fees</t>
  </si>
  <si>
    <t>One line. Required if interest or late fees above are more than 0.</t>
  </si>
  <si>
    <t>Expense heads total (must equal total expenses)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</si>
</sst>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₹#,##0;&quot;(₹&quot;#,##0);–"/>
    <numFmt numFmtId="165" formatCode="0.0%"/>
    <numFmt numFmtId="166" formatCode="0.0"/>
    <numFmt numFmtId="167" formatCode="#,##0;(#,##0);–"/>
  </numFmts>
  <fonts count="15" x14ac:knownFonts="1">
    <font>
      <color theme="1"/>
      <family val="2"/>
      <scheme val="minor"/>
      <sz val="11"/>
      <name val="Calibri"/>
    </font>
    <font>
      <b/>
      <charset val="1"/>
      <sz val="14"/>
      <name val="Arial"/>
    </font>
    <font>
      <b/>
    </font>
    <font>
      <b/>
      <charset val="1"/>
      <color rgb="FF1E4620"/>
      <sz val="10"/>
      <name val="Arial"/>
    </font>
    <font>
      <charset val="1"/>
      <sz val="10"/>
      <name val="Arial"/>
    </font>
    <font>
      <b/>
      <charset val="1"/>
      <sz val="10"/>
      <name val="Arial"/>
    </font>
    <font>
      <charset val="1"/>
      <color rgb="FF0000FF"/>
      <sz val="10"/>
      <name val="Arial"/>
    </font>
    <font>
      <b/>
      <charset val="1"/>
      <color rgb="FFC00000"/>
      <sz val="10"/>
      <name val="Arial"/>
    </font>
    <font>
      <charset val="1"/>
      <color rgb="FFC00000"/>
      <sz val="10"/>
      <name val="Arial"/>
    </font>
    <font>
      <b/>
      <charset val="1"/>
      <color rgb="FFFFFFFF"/>
      <sz val="9"/>
      <name val="Arial"/>
    </font>
    <font>
      <charset val="1"/>
      <color rgb="FF008000"/>
      <sz val="10"/>
      <name val="Arial"/>
    </font>
    <font>
      <charset val="1"/>
      <color theme="1"/>
      <family val="2"/>
      <sz val="11"/>
      <name val="Calibri"/>
    </font>
    <font>
      <i/>
      <charset val="1"/>
      <color rgb="FF666666"/>
      <sz val="9"/>
      <name val="Arial"/>
    </font>
    <font>
      <b/>
      <sz val="14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E4620"/>
        <bgColor rgb="FF333333"/>
      </patternFill>
    </fill>
    <fill>
      <patternFill patternType="solid">
        <fgColor rgb="FFE8E8E8"/>
        <bgColor rgb="FFF2F2F2"/>
      </patternFill>
    </fill>
    <fill>
      <patternFill patternType="solid">
        <fgColor rgb="FFF2F2F2"/>
        <bgColor rgb="FFE8E8E8"/>
      </patternFill>
    </fill>
    <fill>
      <patternFill patternType="solid">
        <fgColor rgb="FFFDF3DD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333333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49" fontId="6" fillId="2" borderId="1" xfId="0" applyNumberFormat="1" applyFont="1" applyFill="1" applyBorder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3" borderId="0" xfId="0" applyFont="1" applyFill="1" applyAlignment="1">
      <alignment horizontal="left" vertical="bottom"/>
    </xf>
    <xf numFmtId="0" fontId="9" fillId="3" borderId="0" xfId="0" applyFont="1" applyFill="1" applyAlignment="1">
      <alignment horizontal="right" vertical="bottom"/>
    </xf>
    <xf numFmtId="164" fontId="6" fillId="2" borderId="1" xfId="0" applyNumberFormat="1" applyFont="1" applyFill="1" applyBorder="1" applyAlignment="1">
      <alignment vertical="bottom"/>
    </xf>
    <xf numFmtId="0" fontId="5" fillId="0" borderId="2" xfId="0" applyFont="1" applyBorder="1" applyAlignment="1">
      <alignment vertical="bottom"/>
    </xf>
    <xf numFmtId="164" fontId="5" fillId="0" borderId="2" xfId="0" applyNumberFormat="1" applyFont="1" applyBorder="1" applyAlignment="1">
      <alignment vertical="bottom"/>
    </xf>
    <xf numFmtId="164" fontId="4" fillId="0" borderId="0" xfId="0" applyNumberFormat="1" applyFont="1" applyAlignment="1">
      <alignment vertical="bottom"/>
    </xf>
    <xf numFmtId="164" fontId="5" fillId="0" borderId="0" xfId="0" applyNumberFormat="1" applyFont="1" applyAlignment="1">
      <alignment vertical="bottom"/>
    </xf>
    <xf numFmtId="165" fontId="4" fillId="0" borderId="0" xfId="0" applyNumberFormat="1" applyFont="1" applyAlignment="1">
      <alignment vertical="bottom"/>
    </xf>
    <xf numFmtId="166" fontId="4" fillId="0" borderId="0" xfId="0" applyNumberFormat="1" applyFont="1" applyAlignment="1">
      <alignment vertical="bottom"/>
    </xf>
    <xf numFmtId="167" fontId="6" fillId="2" borderId="1" xfId="0" applyNumberFormat="1" applyFont="1" applyFill="1" applyBorder="1" applyAlignment="1">
      <alignment vertical="bottom"/>
    </xf>
    <xf numFmtId="165" fontId="10" fillId="0" borderId="0" xfId="0" applyNumberFormat="1" applyFont="1" applyAlignment="1">
      <alignment vertical="bottom"/>
    </xf>
    <xf numFmtId="164" fontId="10" fillId="0" borderId="0" xfId="0" applyNumberFormat="1" applyFont="1" applyAlignment="1">
      <alignment vertical="bottom"/>
    </xf>
    <xf numFmtId="166" fontId="5" fillId="0" borderId="2" xfId="0" applyNumberFormat="1" applyFont="1" applyBorder="1" applyAlignment="1">
      <alignment vertical="bottom"/>
    </xf>
    <xf numFmtId="166" fontId="6" fillId="2" borderId="1" xfId="0" applyNumberFormat="1" applyFont="1" applyFill="1" applyBorder="1" applyAlignment="1">
      <alignment vertical="bottom"/>
    </xf>
    <xf numFmtId="49" fontId="5" fillId="0" borderId="0" xfId="0" applyNumberFormat="1" applyFont="1" applyAlignment="1">
      <alignment vertical="bottom"/>
    </xf>
    <xf numFmtId="49" fontId="5" fillId="0" borderId="0" xfId="0" applyNumberFormat="1" applyFont="1" applyAlignment="1">
      <alignment horizontal="center" vertical="bottom"/>
    </xf>
    <xf numFmtId="0" fontId="5" fillId="4" borderId="0" xfId="0" applyFont="1" applyFill="1" applyAlignment="1">
      <alignment vertical="bottom"/>
    </xf>
    <xf numFmtId="0" fontId="11" fillId="4" borderId="0" xfId="0" applyFont="1" applyFill="1" applyAlignment="1">
      <alignment vertical="bottom"/>
    </xf>
    <xf numFmtId="49" fontId="5" fillId="4" borderId="0" xfId="0" applyNumberFormat="1" applyFont="1" applyFill="1" applyAlignment="1">
      <alignment horizontal="center" vertical="bottom"/>
    </xf>
    <xf numFmtId="49" fontId="10" fillId="0" borderId="0" xfId="0" applyNumberFormat="1" applyFont="1" applyAlignment="1">
      <alignment vertical="bottom"/>
    </xf>
    <xf numFmtId="0" fontId="5" fillId="5" borderId="0" xfId="0" applyFont="1" applyFill="1" applyAlignment="1">
      <alignment vertical="bottom"/>
    </xf>
    <xf numFmtId="164" fontId="10" fillId="5" borderId="0" xfId="0" applyNumberFormat="1" applyFont="1" applyFill="1" applyAlignment="1">
      <alignment vertical="bottom"/>
    </xf>
    <xf numFmtId="0" fontId="12" fillId="5" borderId="0" xfId="0" applyFont="1" applyFill="1" applyAlignment="1">
      <alignment vertical="bottom"/>
    </xf>
    <xf numFmtId="167" fontId="10" fillId="5" borderId="0" xfId="0" applyNumberFormat="1" applyFont="1" applyFill="1" applyAlignment="1">
      <alignment vertical="bottom"/>
    </xf>
    <xf numFmtId="167" fontId="10" fillId="0" borderId="0" xfId="0" applyNumberFormat="1" applyFont="1" applyAlignment="1">
      <alignment vertical="bottom"/>
    </xf>
    <xf numFmtId="0" fontId="13" fillId="0" borderId="0" xfId="0" applyFont="1"/>
    <xf numFmtId="0" fontId="2" fillId="0" borderId="0" xfId="0" applyFont="1"/>
    <xf numFmtId="3" fontId="0" fillId="6" borderId="0" xfId="0" applyNumberFormat="1" applyFill="1"/>
    <xf numFmtId="49" fontId="0" fillId="6" borderId="0" xfId="0" applyNumberFormat="1" applyFill="1"/>
    <xf numFmtId="0" fontId="14" fillId="0" borderId="0" xfId="0" applyFont="1"/>
    <xf numFmtId="3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6" customWidth="1"/>
    <col min="2" max="2" width="60" customWidth="1"/>
  </cols>
  <sheetData>
    <row r="1" ht="17.35" customHeight="1" spans="1:1" x14ac:dyDescent="0.25">
      <c r="A1" s="1" t="s">
        <v>0</v>
      </c>
    </row>
    <row r="2" ht="15" customHeight="1" spans="1:1" x14ac:dyDescent="0.25">
      <c r="A2" s="2" t="s">
        <v>1</v>
      </c>
    </row>
    <row r="4" ht="15" customHeight="1" spans="1:1" x14ac:dyDescent="0.25">
      <c r="A4" s="3" t="s">
        <v>2</v>
      </c>
    </row>
    <row r="5" ht="15" customHeight="1" spans="2:2" x14ac:dyDescent="0.25">
      <c r="B5" s="4" t="s">
        <v>3</v>
      </c>
    </row>
    <row r="6" ht="15" customHeight="1" spans="2:2" x14ac:dyDescent="0.25">
      <c r="B6" s="4" t="s">
        <v>4</v>
      </c>
    </row>
    <row r="7" ht="15" customHeight="1" spans="2:2" x14ac:dyDescent="0.25">
      <c r="B7" s="4" t="s">
        <v>5</v>
      </c>
    </row>
    <row r="9" ht="15" customHeight="1" spans="1:1" x14ac:dyDescent="0.25">
      <c r="A9" s="3" t="s">
        <v>6</v>
      </c>
    </row>
    <row r="10" ht="15" customHeight="1" spans="2:2" x14ac:dyDescent="0.25">
      <c r="B10" s="4" t="s">
        <v>7</v>
      </c>
    </row>
    <row r="11" ht="15" customHeight="1" spans="2:2" x14ac:dyDescent="0.25">
      <c r="B11" s="4" t="s">
        <v>8</v>
      </c>
    </row>
    <row r="12" ht="15" customHeight="1" spans="2:2" x14ac:dyDescent="0.25">
      <c r="B12" s="4" t="s">
        <v>9</v>
      </c>
    </row>
    <row r="13" ht="15" customHeight="1" spans="2:2" x14ac:dyDescent="0.25">
      <c r="B13" s="4" t="s">
        <v>10</v>
      </c>
    </row>
    <row r="15" ht="15" customHeight="1" spans="1:1" x14ac:dyDescent="0.25">
      <c r="A15" s="3" t="s">
        <v>11</v>
      </c>
    </row>
    <row r="16" ht="15" customHeight="1" spans="2:2" x14ac:dyDescent="0.25">
      <c r="B16" s="4" t="s">
        <v>12</v>
      </c>
    </row>
    <row r="17" ht="15" customHeight="1" spans="2:2" x14ac:dyDescent="0.25">
      <c r="B17" s="4" t="s">
        <v>13</v>
      </c>
    </row>
    <row r="18" ht="15" customHeight="1" spans="2:2" x14ac:dyDescent="0.25">
      <c r="B18" s="4" t="s">
        <v>14</v>
      </c>
    </row>
    <row r="19" ht="15" customHeight="1" spans="2:2" x14ac:dyDescent="0.25">
      <c r="B19" s="4" t="s">
        <v>15</v>
      </c>
    </row>
    <row r="20" ht="15" customHeight="1" spans="2:2" x14ac:dyDescent="0.25">
      <c r="B20" s="4" t="s">
        <v>16</v>
      </c>
    </row>
    <row r="22" ht="15" customHeight="1" spans="1:1" x14ac:dyDescent="0.25">
      <c r="A22" s="3" t="s">
        <v>17</v>
      </c>
    </row>
    <row r="23" ht="15" customHeight="1" spans="2:2" x14ac:dyDescent="0.25">
      <c r="B23" s="4" t="s">
        <v>18</v>
      </c>
    </row>
    <row r="24" ht="15" customHeight="1" spans="2:2" x14ac:dyDescent="0.25">
      <c r="B24" s="4" t="s">
        <v>19</v>
      </c>
    </row>
    <row r="25" ht="15" customHeight="1" spans="2:2" x14ac:dyDescent="0.25">
      <c r="B25" s="4" t="s">
        <v>20</v>
      </c>
    </row>
    <row r="27" ht="15" customHeight="1" spans="1:1" x14ac:dyDescent="0.25">
      <c r="A27" s="3" t="s">
        <v>21</v>
      </c>
    </row>
    <row r="28" ht="15" customHeight="1" spans="1:2" x14ac:dyDescent="0.25">
      <c r="A28" s="5" t="s">
        <v>22</v>
      </c>
      <c r="B28" s="6" t="s">
        <v>23</v>
      </c>
    </row>
    <row r="29" ht="15" customHeight="1" spans="1:2" x14ac:dyDescent="0.25">
      <c r="A29" s="5" t="s">
        <v>24</v>
      </c>
      <c r="B29" s="6" t="s">
        <v>25</v>
      </c>
    </row>
    <row r="30" ht="15" customHeight="1" spans="1:2" x14ac:dyDescent="0.25">
      <c r="A30" s="5" t="s">
        <v>26</v>
      </c>
      <c r="B30" s="6" t="s">
        <v>27</v>
      </c>
    </row>
    <row r="31" ht="15" customHeight="1" spans="1:2" x14ac:dyDescent="0.25">
      <c r="A31" s="5" t="s">
        <v>28</v>
      </c>
      <c r="B31" s="6" t="s">
        <v>29</v>
      </c>
    </row>
    <row r="33" ht="15" customHeight="1" spans="1:2" x14ac:dyDescent="0.25">
      <c r="A33" s="3" t="s">
        <v>30</v>
      </c>
      <c r="B33" s="7" t="s">
        <v>31</v>
      </c>
    </row>
    <row r="34" ht="15" customHeight="1" spans="2:2" x14ac:dyDescent="0.25">
      <c r="B34" s="8" t="s">
        <v>32</v>
      </c>
    </row>
    <row r="36" ht="15" customHeight="1" spans="1:2" x14ac:dyDescent="0.25">
      <c r="A36" s="5" t="s">
        <v>33</v>
      </c>
      <c r="B36" s="4" t="s">
        <v>34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4" customWidth="1"/>
    <col min="2" max="3" width="16" customWidth="1"/>
  </cols>
  <sheetData>
    <row r="1" ht="17.35" customHeight="1" spans="1:1" x14ac:dyDescent="0.25">
      <c r="A1" s="1" t="s">
        <v>35</v>
      </c>
    </row>
    <row r="2" ht="15" customHeight="1" spans="1:1" x14ac:dyDescent="0.25">
      <c r="A2" s="2" t="s">
        <v>36</v>
      </c>
    </row>
    <row r="4" ht="15" customHeight="1" spans="1:3" x14ac:dyDescent="0.25">
      <c r="A4" s="9" t="s">
        <v>37</v>
      </c>
      <c r="B4" s="10" t="s">
        <v>38</v>
      </c>
      <c r="C4" s="10" t="s">
        <v>39</v>
      </c>
    </row>
    <row r="6" ht="15" customHeight="1" spans="1:1" x14ac:dyDescent="0.25">
      <c r="A6" s="3" t="s">
        <v>40</v>
      </c>
    </row>
    <row r="7" ht="15" customHeight="1" spans="1:3" x14ac:dyDescent="0.25">
      <c r="A7" s="4" t="s">
        <v>41</v>
      </c>
      <c r="B7" s="11">
        <v>210000</v>
      </c>
      <c r="C7" s="11">
        <v>175000</v>
      </c>
    </row>
    <row r="8" ht="15" customHeight="1" spans="1:3" x14ac:dyDescent="0.25">
      <c r="A8" s="4" t="s">
        <v>42</v>
      </c>
      <c r="B8" s="11">
        <v>340000</v>
      </c>
      <c r="C8" s="11">
        <v>320000</v>
      </c>
    </row>
    <row r="9" ht="15" customHeight="1" spans="1:3" x14ac:dyDescent="0.25">
      <c r="A9" s="4" t="s">
        <v>43</v>
      </c>
      <c r="B9" s="11">
        <v>160000</v>
      </c>
      <c r="C9" s="11">
        <v>163000</v>
      </c>
    </row>
    <row r="10" ht="15" customHeight="1" spans="1:3" x14ac:dyDescent="0.25">
      <c r="A10" s="12" t="s">
        <v>44</v>
      </c>
      <c r="B10" s="13">
        <f>SUM(B7:B9)</f>
        <v>710000</v>
      </c>
      <c r="C10" s="13">
        <f>SUM(C7:C9)</f>
        <v>658000</v>
      </c>
    </row>
    <row r="12" ht="15" customHeight="1" spans="1:3" x14ac:dyDescent="0.25">
      <c r="A12" s="4" t="s">
        <v>45</v>
      </c>
      <c r="B12" s="11">
        <v>180000</v>
      </c>
      <c r="C12" s="11">
        <v>165000</v>
      </c>
    </row>
    <row r="13" ht="15" customHeight="1" spans="1:3" x14ac:dyDescent="0.25">
      <c r="A13" s="2" t="s">
        <v>46</v>
      </c>
      <c r="B13" s="14">
        <f>B10+B12</f>
        <v>890000</v>
      </c>
      <c r="C13" s="14">
        <f>C10+C12</f>
        <v>823000</v>
      </c>
    </row>
    <row r="15" ht="15" customHeight="1" spans="1:1" x14ac:dyDescent="0.25">
      <c r="A15" s="3" t="s">
        <v>47</v>
      </c>
    </row>
    <row r="16" ht="15" customHeight="1" spans="1:3" x14ac:dyDescent="0.25">
      <c r="A16" s="4" t="s">
        <v>48</v>
      </c>
      <c r="B16" s="11">
        <v>480000</v>
      </c>
      <c r="C16" s="11">
        <v>455000</v>
      </c>
    </row>
    <row r="17" ht="15" customHeight="1" spans="1:3" x14ac:dyDescent="0.25">
      <c r="A17" s="4" t="s">
        <v>49</v>
      </c>
      <c r="B17" s="11">
        <v>125000</v>
      </c>
      <c r="C17" s="11">
        <v>118000</v>
      </c>
    </row>
    <row r="18" ht="15" customHeight="1" spans="1:3" x14ac:dyDescent="0.25">
      <c r="A18" s="4" t="s">
        <v>50</v>
      </c>
      <c r="B18" s="11">
        <v>95000</v>
      </c>
      <c r="C18" s="11">
        <v>92000</v>
      </c>
    </row>
    <row r="19" ht="15" customHeight="1" spans="1:3" x14ac:dyDescent="0.25">
      <c r="A19" s="4" t="s">
        <v>51</v>
      </c>
      <c r="B19" s="11">
        <v>105000</v>
      </c>
      <c r="C19" s="11">
        <v>95000</v>
      </c>
    </row>
    <row r="20" ht="15" customHeight="1" spans="1:3" x14ac:dyDescent="0.25">
      <c r="A20" s="12" t="s">
        <v>52</v>
      </c>
      <c r="B20" s="13">
        <f>SUM(B16:B19)</f>
        <v>805000</v>
      </c>
      <c r="C20" s="13">
        <f>SUM(C16:C19)</f>
        <v>760000</v>
      </c>
    </row>
    <row r="22" ht="15" customHeight="1" spans="1:3" x14ac:dyDescent="0.25">
      <c r="A22" s="5" t="s">
        <v>53</v>
      </c>
      <c r="B22" s="15">
        <f>B10-B20</f>
        <v>-95000</v>
      </c>
      <c r="C22" s="15">
        <f>C10-C20</f>
        <v>-102000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4" customWidth="1"/>
    <col min="2" max="2" width="16" customWidth="1"/>
  </cols>
  <sheetData>
    <row r="1" ht="17.35" customHeight="1" spans="1:1" x14ac:dyDescent="0.25">
      <c r="A1" s="1" t="s">
        <v>54</v>
      </c>
    </row>
    <row r="2" ht="15" customHeight="1" spans="1:1" x14ac:dyDescent="0.25">
      <c r="A2" s="2" t="s">
        <v>55</v>
      </c>
    </row>
    <row r="4" ht="15" customHeight="1" spans="1:2" x14ac:dyDescent="0.25">
      <c r="A4" s="9" t="s">
        <v>37</v>
      </c>
      <c r="B4" s="10" t="s">
        <v>56</v>
      </c>
    </row>
    <row r="6" ht="15" customHeight="1" spans="1:1" x14ac:dyDescent="0.25">
      <c r="A6" s="3" t="s">
        <v>57</v>
      </c>
    </row>
    <row r="7" ht="15" customHeight="1" spans="1:2" x14ac:dyDescent="0.25">
      <c r="A7" s="4" t="s">
        <v>58</v>
      </c>
      <c r="B7" s="11">
        <v>1640000</v>
      </c>
    </row>
    <row r="8" ht="15" customHeight="1" spans="1:2" x14ac:dyDescent="0.25">
      <c r="A8" s="4" t="s">
        <v>59</v>
      </c>
      <c r="B8" s="11">
        <v>200000</v>
      </c>
    </row>
    <row r="9" ht="15" customHeight="1" spans="1:2" x14ac:dyDescent="0.25">
      <c r="A9" s="5" t="s">
        <v>60</v>
      </c>
      <c r="B9" s="15">
        <f>B7+B8</f>
        <v>1840000</v>
      </c>
    </row>
    <row r="10" ht="15" customHeight="1" spans="1:2" x14ac:dyDescent="0.25">
      <c r="A10" s="4" t="s">
        <v>61</v>
      </c>
      <c r="B10" s="11">
        <v>920000</v>
      </c>
    </row>
    <row r="11" ht="15" customHeight="1" spans="1:2" x14ac:dyDescent="0.25">
      <c r="A11" s="4" t="s">
        <v>62</v>
      </c>
      <c r="B11" s="11">
        <v>180000</v>
      </c>
    </row>
    <row r="12" ht="15" customHeight="1" spans="1:2" x14ac:dyDescent="0.25">
      <c r="A12" s="4" t="s">
        <v>63</v>
      </c>
      <c r="B12" s="11">
        <v>340000</v>
      </c>
    </row>
    <row r="13" ht="15" customHeight="1" spans="1:2" x14ac:dyDescent="0.25">
      <c r="A13" s="12" t="s">
        <v>64</v>
      </c>
      <c r="B13" s="13">
        <f>B9+B10+B11+B12</f>
        <v>3280000</v>
      </c>
    </row>
    <row r="15" ht="15" customHeight="1" spans="1:1" x14ac:dyDescent="0.25">
      <c r="A15" s="3" t="s">
        <v>65</v>
      </c>
    </row>
    <row r="16" ht="15" customHeight="1" spans="1:2" x14ac:dyDescent="0.25">
      <c r="A16" s="4" t="s">
        <v>66</v>
      </c>
      <c r="B16" s="11">
        <v>430000</v>
      </c>
    </row>
    <row r="17" ht="15" customHeight="1" spans="1:2" x14ac:dyDescent="0.25">
      <c r="A17" s="4" t="s">
        <v>67</v>
      </c>
      <c r="B17" s="11">
        <v>145000</v>
      </c>
    </row>
    <row r="18" ht="15" customHeight="1" spans="1:2" x14ac:dyDescent="0.25">
      <c r="A18" s="4" t="s">
        <v>68</v>
      </c>
      <c r="B18" s="11">
        <v>640000</v>
      </c>
    </row>
    <row r="19" ht="15" customHeight="1" spans="1:2" x14ac:dyDescent="0.25">
      <c r="A19" s="4" t="s">
        <v>69</v>
      </c>
      <c r="B19" s="11">
        <v>210000</v>
      </c>
    </row>
    <row r="20" ht="15" customHeight="1" spans="1:2" x14ac:dyDescent="0.25">
      <c r="A20" s="4" t="s">
        <v>70</v>
      </c>
      <c r="B20" s="11">
        <v>1855000</v>
      </c>
    </row>
    <row r="21" ht="15" customHeight="1" spans="1:2" x14ac:dyDescent="0.25">
      <c r="A21" s="12" t="s">
        <v>71</v>
      </c>
      <c r="B21" s="13">
        <f>SUM(B16:B20)</f>
        <v>3280000</v>
      </c>
    </row>
    <row r="23" ht="15" customHeight="1" spans="1:2" x14ac:dyDescent="0.25">
      <c r="A23" s="2" t="s">
        <v>72</v>
      </c>
      <c r="B23" s="14">
        <f>B13-B21</f>
        <v>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4" customWidth="1"/>
    <col min="2" max="2" width="16" customWidth="1"/>
  </cols>
  <sheetData>
    <row r="1" ht="17.35" customHeight="1" spans="1:1" x14ac:dyDescent="0.25">
      <c r="A1" s="1" t="s">
        <v>73</v>
      </c>
    </row>
    <row r="2" ht="15" customHeight="1" spans="1:1" x14ac:dyDescent="0.25">
      <c r="A2" s="2" t="s">
        <v>74</v>
      </c>
    </row>
    <row r="4" ht="15" customHeight="1" spans="1:2" x14ac:dyDescent="0.25">
      <c r="A4" s="9" t="s">
        <v>37</v>
      </c>
      <c r="B4" s="10" t="s">
        <v>56</v>
      </c>
    </row>
    <row r="6" ht="15" customHeight="1" spans="1:2" x14ac:dyDescent="0.25">
      <c r="A6" s="4" t="s">
        <v>75</v>
      </c>
      <c r="B6" s="11">
        <v>2000000</v>
      </c>
    </row>
    <row r="8" ht="15" customHeight="1" spans="1:1" x14ac:dyDescent="0.25">
      <c r="A8" s="3" t="s">
        <v>76</v>
      </c>
    </row>
    <row r="9" ht="15" customHeight="1" spans="1:2" x14ac:dyDescent="0.25">
      <c r="A9" s="4" t="s">
        <v>77</v>
      </c>
      <c r="B9" s="11">
        <v>690000</v>
      </c>
    </row>
    <row r="10" ht="15" customHeight="1" spans="1:2" x14ac:dyDescent="0.25">
      <c r="A10" s="4" t="s">
        <v>78</v>
      </c>
      <c r="B10" s="11">
        <v>20000</v>
      </c>
    </row>
    <row r="11" ht="15" customHeight="1" spans="1:2" x14ac:dyDescent="0.25">
      <c r="A11" s="5" t="s">
        <v>79</v>
      </c>
      <c r="B11" s="15">
        <f>SUM(B9:B10)</f>
        <v>710000</v>
      </c>
    </row>
    <row r="13" ht="15" customHeight="1" spans="1:1" x14ac:dyDescent="0.25">
      <c r="A13" s="3" t="s">
        <v>80</v>
      </c>
    </row>
    <row r="14" ht="15" customHeight="1" spans="1:2" x14ac:dyDescent="0.25">
      <c r="A14" s="4" t="s">
        <v>81</v>
      </c>
      <c r="B14" s="11">
        <v>470000</v>
      </c>
    </row>
    <row r="15" ht="15" customHeight="1" spans="1:2" x14ac:dyDescent="0.25">
      <c r="A15" s="4" t="s">
        <v>82</v>
      </c>
      <c r="B15" s="11">
        <v>250000</v>
      </c>
    </row>
    <row r="16" ht="15" customHeight="1" spans="1:2" x14ac:dyDescent="0.25">
      <c r="A16" s="4" t="s">
        <v>83</v>
      </c>
      <c r="B16" s="11">
        <v>85000</v>
      </c>
    </row>
    <row r="17" ht="15" customHeight="1" spans="1:2" x14ac:dyDescent="0.25">
      <c r="A17" s="4" t="s">
        <v>84</v>
      </c>
      <c r="B17" s="11">
        <v>65000</v>
      </c>
    </row>
    <row r="18" ht="15" customHeight="1" spans="1:2" x14ac:dyDescent="0.25">
      <c r="A18" s="5" t="s">
        <v>85</v>
      </c>
      <c r="B18" s="15">
        <f>SUM(B14:B17)</f>
        <v>870000</v>
      </c>
    </row>
    <row r="20" ht="15" customHeight="1" spans="1:2" x14ac:dyDescent="0.25">
      <c r="A20" s="5" t="s">
        <v>86</v>
      </c>
      <c r="B20" s="15">
        <f>B11-B18</f>
        <v>-160000</v>
      </c>
    </row>
    <row r="21" ht="15" customHeight="1" spans="1:2" x14ac:dyDescent="0.25">
      <c r="A21" s="12" t="s">
        <v>87</v>
      </c>
      <c r="B21" s="13">
        <f>B6+B20</f>
        <v>1840000</v>
      </c>
    </row>
    <row r="23" ht="15" customHeight="1" spans="1:2" x14ac:dyDescent="0.25">
      <c r="A23" s="2" t="s">
        <v>88</v>
      </c>
      <c r="B23" s="14">
        <f>B18</f>
        <v>870000</v>
      </c>
    </row>
    <row r="24" ht="15" customHeight="1" spans="1:2" x14ac:dyDescent="0.25">
      <c r="A24" s="2" t="s">
        <v>89</v>
      </c>
      <c r="B24" s="14">
        <f>B18-B11</f>
        <v>160000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4" customWidth="1"/>
    <col min="2" max="2" width="16" customWidth="1"/>
  </cols>
  <sheetData>
    <row r="1" ht="17.35" customHeight="1" spans="1:1" x14ac:dyDescent="0.25">
      <c r="A1" s="1" t="s">
        <v>90</v>
      </c>
    </row>
    <row r="2" ht="15" customHeight="1" spans="1:1" x14ac:dyDescent="0.25">
      <c r="A2" s="2" t="s">
        <v>91</v>
      </c>
    </row>
    <row r="4" ht="15" customHeight="1" spans="1:2" x14ac:dyDescent="0.25">
      <c r="A4" s="9" t="s">
        <v>37</v>
      </c>
      <c r="B4" s="10" t="s">
        <v>56</v>
      </c>
    </row>
    <row r="6" ht="15" customHeight="1" spans="1:1" x14ac:dyDescent="0.25">
      <c r="A6" s="3" t="s">
        <v>92</v>
      </c>
    </row>
    <row r="7" ht="15" customHeight="1" spans="1:2" x14ac:dyDescent="0.25">
      <c r="A7" s="4" t="s">
        <v>93</v>
      </c>
      <c r="B7" s="11">
        <v>410000</v>
      </c>
    </row>
    <row r="8" ht="15" customHeight="1" spans="1:2" x14ac:dyDescent="0.25">
      <c r="A8" s="4" t="s">
        <v>94</v>
      </c>
      <c r="B8" s="11">
        <v>260000</v>
      </c>
    </row>
    <row r="9" ht="15" customHeight="1" spans="1:2" x14ac:dyDescent="0.25">
      <c r="A9" s="4" t="s">
        <v>95</v>
      </c>
      <c r="B9" s="11">
        <v>140000</v>
      </c>
    </row>
    <row r="10" ht="15" customHeight="1" spans="1:2" x14ac:dyDescent="0.25">
      <c r="A10" s="4" t="s">
        <v>96</v>
      </c>
      <c r="B10" s="11">
        <v>110000</v>
      </c>
    </row>
    <row r="11" ht="15" customHeight="1" spans="1:2" x14ac:dyDescent="0.25">
      <c r="A11" s="12" t="s">
        <v>97</v>
      </c>
      <c r="B11" s="13">
        <f>SUM(B7:B10)</f>
        <v>920000</v>
      </c>
    </row>
    <row r="13" ht="15" customHeight="1" spans="1:1" x14ac:dyDescent="0.25">
      <c r="A13" s="3" t="s">
        <v>98</v>
      </c>
    </row>
    <row r="14" ht="15" customHeight="1" spans="1:2" x14ac:dyDescent="0.25">
      <c r="A14" s="4" t="s">
        <v>99</v>
      </c>
      <c r="B14" s="11">
        <v>430000</v>
      </c>
    </row>
    <row r="16" ht="15" customHeight="1" spans="1:1" x14ac:dyDescent="0.25">
      <c r="A16" s="3" t="s">
        <v>100</v>
      </c>
    </row>
    <row r="17" ht="15" customHeight="1" spans="1:2" x14ac:dyDescent="0.25">
      <c r="A17" s="4" t="s">
        <v>101</v>
      </c>
      <c r="B17" s="11">
        <v>840000</v>
      </c>
    </row>
    <row r="18" ht="15" customHeight="1" spans="1:2" x14ac:dyDescent="0.25">
      <c r="A18" s="4" t="s">
        <v>102</v>
      </c>
      <c r="B18" s="11">
        <v>690000</v>
      </c>
    </row>
    <row r="20" ht="15" customHeight="1" spans="1:2" x14ac:dyDescent="0.25">
      <c r="A20" s="2" t="s">
        <v>103</v>
      </c>
      <c r="B20" s="16">
        <f>IF(B17=0,0,B18/B17)</f>
        <v>0.821428571428571</v>
      </c>
    </row>
    <row r="21" ht="15" customHeight="1" spans="1:2" x14ac:dyDescent="0.25">
      <c r="A21" s="2" t="s">
        <v>104</v>
      </c>
      <c r="B21" s="17">
        <f>IF(B17=0,0,B11/B17*30)</f>
        <v>32.8571428571429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4" customWidth="1"/>
    <col min="2" max="2" width="16" customWidth="1"/>
  </cols>
  <sheetData>
    <row r="1" ht="17.35" customHeight="1" spans="1:1" x14ac:dyDescent="0.25">
      <c r="A1" s="1" t="s">
        <v>105</v>
      </c>
    </row>
    <row r="2" ht="15" customHeight="1" spans="1:1" x14ac:dyDescent="0.25">
      <c r="A2" s="2" t="s">
        <v>106</v>
      </c>
    </row>
    <row r="4" ht="15" customHeight="1" spans="1:2" x14ac:dyDescent="0.25">
      <c r="A4" s="9" t="s">
        <v>37</v>
      </c>
      <c r="B4" s="10" t="s">
        <v>56</v>
      </c>
    </row>
    <row r="6" ht="15" customHeight="1" spans="1:2" x14ac:dyDescent="0.25">
      <c r="A6" s="4" t="s">
        <v>107</v>
      </c>
      <c r="B6" s="18">
        <v>14</v>
      </c>
    </row>
    <row r="7" ht="15" customHeight="1" spans="1:2" x14ac:dyDescent="0.25">
      <c r="A7" s="4" t="s">
        <v>108</v>
      </c>
      <c r="B7" s="18">
        <v>2</v>
      </c>
    </row>
    <row r="8" ht="15" customHeight="1" spans="1:2" x14ac:dyDescent="0.25">
      <c r="A8" s="4" t="s">
        <v>109</v>
      </c>
      <c r="B8" s="18">
        <v>1</v>
      </c>
    </row>
    <row r="10" ht="15" customHeight="1" spans="1:2" x14ac:dyDescent="0.25">
      <c r="A10" s="4" t="s">
        <v>110</v>
      </c>
      <c r="B10" s="11">
        <v>284000</v>
      </c>
    </row>
    <row r="11" ht="15" customHeight="1" spans="1:2" x14ac:dyDescent="0.25">
      <c r="A11" s="4" t="s">
        <v>111</v>
      </c>
      <c r="B11" s="11">
        <v>553800</v>
      </c>
    </row>
    <row r="13" ht="15" customHeight="1" spans="1:2" x14ac:dyDescent="0.25">
      <c r="A13" s="2" t="s">
        <v>112</v>
      </c>
      <c r="B13" s="19">
        <f>IF('Profit and Loss'!B10=0,0,B10/'Profit and Loss'!B10)</f>
        <v>0.4</v>
      </c>
    </row>
    <row r="14" ht="15" customHeight="1" spans="1:2" x14ac:dyDescent="0.25">
      <c r="A14" s="2" t="s">
        <v>113</v>
      </c>
      <c r="B14" s="19">
        <f>IF('Profit and Loss'!B10=0,0,B11/'Profit and Loss'!B10)</f>
        <v>0.78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4" customWidth="1"/>
    <col min="2" max="2" width="16" customWidth="1"/>
  </cols>
  <sheetData>
    <row r="1" ht="17.35" customHeight="1" spans="1:1" x14ac:dyDescent="0.25">
      <c r="A1" s="1" t="s">
        <v>114</v>
      </c>
    </row>
    <row r="2" ht="15" customHeight="1" spans="1:1" x14ac:dyDescent="0.25">
      <c r="A2" s="2" t="s">
        <v>115</v>
      </c>
    </row>
    <row r="4" ht="15" customHeight="1" spans="1:2" x14ac:dyDescent="0.25">
      <c r="A4" s="9" t="s">
        <v>37</v>
      </c>
      <c r="B4" s="10" t="s">
        <v>56</v>
      </c>
    </row>
    <row r="6" ht="15" customHeight="1" spans="1:2" x14ac:dyDescent="0.25">
      <c r="A6" s="4" t="s">
        <v>116</v>
      </c>
      <c r="B6" s="20">
        <f>'Balance Sheet'!B9</f>
        <v>1840000</v>
      </c>
    </row>
    <row r="7" ht="15" customHeight="1" spans="1:2" x14ac:dyDescent="0.25">
      <c r="A7" s="4" t="s">
        <v>117</v>
      </c>
      <c r="B7" s="20">
        <f>'Balance Sheet'!B8</f>
        <v>200000</v>
      </c>
    </row>
    <row r="8" ht="15" customHeight="1" spans="1:2" x14ac:dyDescent="0.25">
      <c r="A8" s="5" t="s">
        <v>118</v>
      </c>
      <c r="B8" s="15">
        <f>B6-B7</f>
        <v>1640000</v>
      </c>
    </row>
    <row r="10" ht="15" customHeight="1" spans="1:2" x14ac:dyDescent="0.25">
      <c r="A10" s="4" t="s">
        <v>119</v>
      </c>
      <c r="B10" s="20">
        <f>'Cash Flow'!B24</f>
        <v>160000</v>
      </c>
    </row>
    <row r="11" ht="15" customHeight="1" spans="1:2" x14ac:dyDescent="0.25">
      <c r="A11" s="4" t="s">
        <v>120</v>
      </c>
      <c r="B11" s="11">
        <v>165000</v>
      </c>
    </row>
    <row r="12" ht="15" customHeight="1" spans="1:2" x14ac:dyDescent="0.25">
      <c r="A12" s="4" t="s">
        <v>121</v>
      </c>
      <c r="B12" s="11">
        <v>157000</v>
      </c>
    </row>
    <row r="13" ht="15" customHeight="1" spans="1:2" x14ac:dyDescent="0.25">
      <c r="A13" s="5" t="s">
        <v>122</v>
      </c>
      <c r="B13" s="15">
        <f>AVERAGE(B10:B12)</f>
        <v>160666.666666667</v>
      </c>
    </row>
    <row r="15" ht="15" customHeight="1" spans="1:2" x14ac:dyDescent="0.25">
      <c r="A15" s="12" t="s">
        <v>123</v>
      </c>
      <c r="B15" s="21">
        <f>IF(B13&lt;=0,"",B8/B13)</f>
        <v>10.2074688796681</v>
      </c>
    </row>
    <row r="17" ht="15" customHeight="1" spans="1:2" x14ac:dyDescent="0.25">
      <c r="A17" s="2" t="s">
        <v>124</v>
      </c>
      <c r="B17" s="22">
        <v>4</v>
      </c>
    </row>
    <row r="18" ht="15" customHeight="1" spans="1:2" x14ac:dyDescent="0.25">
      <c r="A18" s="5" t="s">
        <v>125</v>
      </c>
      <c r="B18" s="23" t="str">
        <f>IF(B15="","not calculable",IF(B15&lt;B17,"BELOW THRESHOLD","OK"))</f>
        <v>OK</v>
      </c>
    </row>
    <row r="20" ht="15" customHeight="1" spans="1:1" x14ac:dyDescent="0.25">
      <c r="A20" s="2" t="s">
        <v>126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6" customWidth="1"/>
    <col min="2" max="3" width="15" customWidth="1"/>
    <col min="4" max="4" width="12" customWidth="1"/>
  </cols>
  <sheetData>
    <row r="1" ht="17.35" customHeight="1" spans="1:1" x14ac:dyDescent="0.25">
      <c r="A1" s="1" t="s">
        <v>127</v>
      </c>
    </row>
    <row r="2" ht="15" customHeight="1" spans="1:1" x14ac:dyDescent="0.25">
      <c r="A2" s="2" t="s">
        <v>128</v>
      </c>
    </row>
    <row r="4" ht="15" customHeight="1" spans="1:4" x14ac:dyDescent="0.25">
      <c r="A4" s="9" t="s">
        <v>129</v>
      </c>
      <c r="B4" s="10" t="s">
        <v>130</v>
      </c>
      <c r="C4" s="10" t="s">
        <v>131</v>
      </c>
      <c r="D4" s="10" t="s">
        <v>132</v>
      </c>
    </row>
    <row r="5" ht="15" customHeight="1" spans="1:4" x14ac:dyDescent="0.25">
      <c r="A5" s="4" t="s">
        <v>133</v>
      </c>
      <c r="B5" s="20">
        <f>'Balance Sheet'!B13</f>
        <v>3280000</v>
      </c>
      <c r="C5" s="20">
        <f>'Balance Sheet'!B21</f>
        <v>3280000</v>
      </c>
      <c r="D5" s="24" t="str">
        <f>IF(ABS(B5-C5)&lt;1,"PASS","FAIL")</f>
        <v>PASS</v>
      </c>
    </row>
    <row r="6" ht="15" customHeight="1" spans="1:4" x14ac:dyDescent="0.25">
      <c r="A6" s="4" t="s">
        <v>134</v>
      </c>
      <c r="B6" s="20">
        <f>'Working Capital'!B11</f>
        <v>920000</v>
      </c>
      <c r="C6" s="20">
        <f>'Balance Sheet'!B10</f>
        <v>920000</v>
      </c>
      <c r="D6" s="24" t="str">
        <f>IF(ABS(B6-C6)&lt;1,"PASS","FAIL")</f>
        <v>PASS</v>
      </c>
    </row>
    <row r="7" ht="15" customHeight="1" spans="1:4" x14ac:dyDescent="0.25">
      <c r="A7" s="4" t="s">
        <v>135</v>
      </c>
      <c r="B7" s="20">
        <f>'Cash Flow'!B21</f>
        <v>1840000</v>
      </c>
      <c r="C7" s="20">
        <f>'Balance Sheet'!B9</f>
        <v>1840000</v>
      </c>
      <c r="D7" s="24" t="str">
        <f>IF(ABS(B7-C7)&lt;1,"PASS","FAIL")</f>
        <v>PASS</v>
      </c>
    </row>
    <row r="8" ht="15" customHeight="1" spans="1:4" x14ac:dyDescent="0.25">
      <c r="A8" s="4" t="s">
        <v>136</v>
      </c>
      <c r="B8" s="20">
        <f>'Working Capital'!B18</f>
        <v>690000</v>
      </c>
      <c r="C8" s="20">
        <f>'Cash Flow'!B9</f>
        <v>690000</v>
      </c>
      <c r="D8" s="24" t="str">
        <f>IF(ABS(B8-C8)&lt;1,"PASS","FAIL")</f>
        <v>PASS</v>
      </c>
    </row>
    <row r="9" ht="15" customHeight="1" spans="1:4" x14ac:dyDescent="0.25">
      <c r="A9" s="4" t="s">
        <v>137</v>
      </c>
      <c r="B9" s="20">
        <f>Customers!B10</f>
        <v>284000</v>
      </c>
      <c r="C9" s="20">
        <f>Customers!B11</f>
        <v>553800</v>
      </c>
      <c r="D9" s="24" t="str">
        <f>IF(AND(B9&lt;=C9,C9&lt;='Profit and Loss'!B10),"PASS","FAIL")</f>
        <v>PASS</v>
      </c>
    </row>
    <row r="11" ht="15" customHeight="1" spans="1:4" x14ac:dyDescent="0.25">
      <c r="A11" s="25" t="s">
        <v>138</v>
      </c>
      <c r="B11" s="26"/>
      <c r="C11" s="26"/>
      <c r="D11" s="27" t="str">
        <f>IF(COUNTIF(D5:D9,"FAIL")=0,"PASS","FAIL")</f>
        <v>PASS</v>
      </c>
    </row>
    <row r="13" ht="15" customHeight="1" spans="1:1" x14ac:dyDescent="0.25">
      <c r="A13" s="2" t="s">
        <v>139</v>
      </c>
    </row>
    <row r="14" ht="15" customHeight="1" spans="1:1" x14ac:dyDescent="0.25">
      <c r="A14" s="2" t="s">
        <v>140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0" customWidth="1"/>
    <col min="2" max="2" width="18" customWidth="1"/>
    <col min="3" max="3" width="56" customWidth="1"/>
  </cols>
  <sheetData>
    <row r="1" ht="17.35" customHeight="1" spans="1:1" x14ac:dyDescent="0.25">
      <c r="A1" s="1" t="s">
        <v>141</v>
      </c>
    </row>
    <row r="2" ht="15" customHeight="1" spans="1:1" x14ac:dyDescent="0.25">
      <c r="A2" s="2" t="s">
        <v>142</v>
      </c>
    </row>
    <row r="4" ht="15" customHeight="1" spans="1:3" x14ac:dyDescent="0.25">
      <c r="A4" s="9" t="s">
        <v>143</v>
      </c>
      <c r="B4" s="10" t="s">
        <v>144</v>
      </c>
      <c r="C4" s="10" t="s">
        <v>145</v>
      </c>
    </row>
    <row r="5" ht="15" customHeight="1" spans="1:3" x14ac:dyDescent="0.25">
      <c r="A5" s="5" t="s">
        <v>146</v>
      </c>
      <c r="B5" s="28" t="s">
        <v>147</v>
      </c>
      <c r="C5" s="2" t="s">
        <v>148</v>
      </c>
    </row>
    <row r="6" ht="15" customHeight="1" spans="1:3" x14ac:dyDescent="0.25">
      <c r="A6" s="5" t="s">
        <v>149</v>
      </c>
      <c r="B6" s="28" t="str">
        <f>'READ ME'!B28</f>
        <v>Xploro Private Limited</v>
      </c>
      <c r="C6" s="2" t="s">
        <v>150</v>
      </c>
    </row>
    <row r="7" ht="15" customHeight="1" spans="1:3" x14ac:dyDescent="0.25">
      <c r="A7" s="5" t="s">
        <v>151</v>
      </c>
      <c r="B7" s="28" t="str">
        <f>'READ ME'!B29</f>
        <v>2026-09</v>
      </c>
      <c r="C7" s="2" t="s">
        <v>150</v>
      </c>
    </row>
    <row r="8" ht="15" customHeight="1" spans="1:3" x14ac:dyDescent="0.25">
      <c r="A8" s="5" t="s">
        <v>152</v>
      </c>
      <c r="B8" s="28" t="str">
        <f>'READ ME'!B30</f>
        <v>SPARC &amp; Co, Chartered Accountants</v>
      </c>
      <c r="C8" s="2" t="s">
        <v>150</v>
      </c>
    </row>
    <row r="9" ht="15" customHeight="1" spans="1:3" x14ac:dyDescent="0.25">
      <c r="A9" s="5" t="s">
        <v>153</v>
      </c>
      <c r="B9" s="28" t="str">
        <f>'READ ME'!B31</f>
        <v>07/10/2026</v>
      </c>
      <c r="C9" s="2" t="s">
        <v>150</v>
      </c>
    </row>
    <row r="10" ht="15" customHeight="1" spans="1:3" x14ac:dyDescent="0.25">
      <c r="A10" s="5" t="s">
        <v>154</v>
      </c>
      <c r="B10" s="28" t="str">
        <f>Checks!D11</f>
        <v>PASS</v>
      </c>
      <c r="C10" s="2" t="s">
        <v>155</v>
      </c>
    </row>
    <row r="12" ht="15" customHeight="1" spans="1:1" x14ac:dyDescent="0.25">
      <c r="A12" s="3" t="s">
        <v>156</v>
      </c>
    </row>
    <row r="13" ht="15" customHeight="1" spans="1:3" x14ac:dyDescent="0.25">
      <c r="A13" s="5" t="s">
        <v>157</v>
      </c>
      <c r="B13" s="20">
        <f>'Cash Flow'!B6</f>
        <v>2000000</v>
      </c>
      <c r="C13" s="2" t="s">
        <v>158</v>
      </c>
    </row>
    <row r="14" ht="15" customHeight="1" spans="1:3" x14ac:dyDescent="0.25">
      <c r="A14" s="29" t="s">
        <v>159</v>
      </c>
      <c r="B14" s="30">
        <f>'Balance Sheet'!B9</f>
        <v>1840000</v>
      </c>
      <c r="C14" s="31" t="s">
        <v>160</v>
      </c>
    </row>
    <row r="15" ht="15" customHeight="1" spans="1:3" x14ac:dyDescent="0.25">
      <c r="A15" s="5" t="s">
        <v>161</v>
      </c>
      <c r="B15" s="20">
        <f>'Balance Sheet'!B8</f>
        <v>200000</v>
      </c>
      <c r="C15" s="2" t="s">
        <v>162</v>
      </c>
    </row>
    <row r="16" ht="15" customHeight="1" spans="1:3" x14ac:dyDescent="0.25">
      <c r="A16" s="29" t="s">
        <v>163</v>
      </c>
      <c r="B16" s="30">
        <f>'Cash Flow'!B23</f>
        <v>870000</v>
      </c>
      <c r="C16" s="31" t="s">
        <v>164</v>
      </c>
    </row>
    <row r="17" ht="15" customHeight="1" spans="1:3" x14ac:dyDescent="0.25">
      <c r="A17" s="5" t="s">
        <v>165</v>
      </c>
      <c r="B17" s="20">
        <f>'Cash Flow'!B24</f>
        <v>160000</v>
      </c>
      <c r="C17" s="2" t="s">
        <v>166</v>
      </c>
    </row>
    <row r="18" ht="15" customHeight="1" spans="1:3" x14ac:dyDescent="0.25">
      <c r="A18" s="29" t="s">
        <v>167</v>
      </c>
      <c r="B18" s="30">
        <f>'Profit and Loss'!B20</f>
        <v>805000</v>
      </c>
      <c r="C18" s="31" t="s">
        <v>168</v>
      </c>
    </row>
    <row r="19" ht="15" customHeight="1" spans="1:3" x14ac:dyDescent="0.25">
      <c r="A19" s="5" t="s">
        <v>169</v>
      </c>
      <c r="B19" s="20">
        <f>'Profit and Loss'!B10</f>
        <v>710000</v>
      </c>
      <c r="C19" s="2" t="s">
        <v>170</v>
      </c>
    </row>
    <row r="20" ht="15" customHeight="1" spans="1:3" x14ac:dyDescent="0.25">
      <c r="A20" s="29" t="s">
        <v>171</v>
      </c>
      <c r="B20" s="30">
        <f>'Profit and Loss'!B7</f>
        <v>210000</v>
      </c>
      <c r="C20" s="31" t="s">
        <v>172</v>
      </c>
    </row>
    <row r="21" ht="15" customHeight="1" spans="1:3" x14ac:dyDescent="0.25">
      <c r="A21" s="5" t="s">
        <v>173</v>
      </c>
      <c r="B21" s="20">
        <f>'Profit and Loss'!B8</f>
        <v>340000</v>
      </c>
      <c r="C21" s="2" t="s">
        <v>174</v>
      </c>
    </row>
    <row r="22" ht="15" customHeight="1" spans="1:3" x14ac:dyDescent="0.25">
      <c r="A22" s="29" t="s">
        <v>175</v>
      </c>
      <c r="B22" s="30">
        <f>'Profit and Loss'!B9</f>
        <v>160000</v>
      </c>
      <c r="C22" s="31" t="s">
        <v>176</v>
      </c>
    </row>
    <row r="23" ht="15" customHeight="1" spans="1:3" x14ac:dyDescent="0.25">
      <c r="A23" s="5" t="s">
        <v>177</v>
      </c>
      <c r="B23" s="20">
        <f>'Profit and Loss'!B12</f>
        <v>180000</v>
      </c>
      <c r="C23" s="2" t="s">
        <v>178</v>
      </c>
    </row>
    <row r="24" ht="15" customHeight="1" spans="1:3" x14ac:dyDescent="0.25">
      <c r="A24" s="29" t="s">
        <v>179</v>
      </c>
      <c r="B24" s="32">
        <f>Customers!B6</f>
        <v>14</v>
      </c>
      <c r="C24" s="31" t="s">
        <v>180</v>
      </c>
    </row>
    <row r="25" ht="15" customHeight="1" spans="1:3" x14ac:dyDescent="0.25">
      <c r="A25" s="5" t="s">
        <v>181</v>
      </c>
      <c r="B25" s="33">
        <f>Customers!B7</f>
        <v>2</v>
      </c>
      <c r="C25" s="2" t="s">
        <v>182</v>
      </c>
    </row>
    <row r="26" ht="15" customHeight="1" spans="1:3" x14ac:dyDescent="0.25">
      <c r="A26" s="29" t="s">
        <v>183</v>
      </c>
      <c r="B26" s="32">
        <f>Customers!B8</f>
        <v>1</v>
      </c>
      <c r="C26" s="31" t="s">
        <v>184</v>
      </c>
    </row>
    <row r="27" ht="15" customHeight="1" spans="1:3" x14ac:dyDescent="0.25">
      <c r="A27" s="5" t="s">
        <v>185</v>
      </c>
      <c r="B27" s="20">
        <f>Customers!B10</f>
        <v>284000</v>
      </c>
      <c r="C27" s="2" t="s">
        <v>186</v>
      </c>
    </row>
    <row r="28" ht="15" customHeight="1" spans="1:3" x14ac:dyDescent="0.25">
      <c r="A28" s="29" t="s">
        <v>187</v>
      </c>
      <c r="B28" s="30">
        <f>Customers!B11</f>
        <v>553800</v>
      </c>
      <c r="C28" s="31" t="s">
        <v>188</v>
      </c>
    </row>
    <row r="29" ht="15" customHeight="1" spans="1:3" x14ac:dyDescent="0.25">
      <c r="A29" s="5" t="s">
        <v>189</v>
      </c>
      <c r="B29" s="20">
        <f>'Working Capital'!B11</f>
        <v>920000</v>
      </c>
      <c r="C29" s="2" t="s">
        <v>190</v>
      </c>
    </row>
    <row r="30" ht="15" customHeight="1" spans="1:3" x14ac:dyDescent="0.25">
      <c r="A30" s="29" t="s">
        <v>191</v>
      </c>
      <c r="B30" s="30">
        <f>'Working Capital'!B7</f>
        <v>410000</v>
      </c>
      <c r="C30" s="31" t="s">
        <v>192</v>
      </c>
    </row>
    <row r="31" ht="15" customHeight="1" spans="1:3" x14ac:dyDescent="0.25">
      <c r="A31" s="5" t="s">
        <v>193</v>
      </c>
      <c r="B31" s="20">
        <f>'Working Capital'!B8</f>
        <v>260000</v>
      </c>
      <c r="C31" s="2" t="s">
        <v>194</v>
      </c>
    </row>
    <row r="32" ht="15" customHeight="1" spans="1:3" x14ac:dyDescent="0.25">
      <c r="A32" s="29" t="s">
        <v>195</v>
      </c>
      <c r="B32" s="30">
        <f>'Working Capital'!B9</f>
        <v>140000</v>
      </c>
      <c r="C32" s="31" t="s">
        <v>196</v>
      </c>
    </row>
    <row r="33" ht="15" customHeight="1" spans="1:3" x14ac:dyDescent="0.25">
      <c r="A33" s="5" t="s">
        <v>197</v>
      </c>
      <c r="B33" s="20">
        <f>'Working Capital'!B10</f>
        <v>110000</v>
      </c>
      <c r="C33" s="2" t="s">
        <v>198</v>
      </c>
    </row>
    <row r="34" ht="15" customHeight="1" spans="1:3" x14ac:dyDescent="0.25">
      <c r="A34" s="29" t="s">
        <v>199</v>
      </c>
      <c r="B34" s="30">
        <f>'Working Capital'!B14</f>
        <v>430000</v>
      </c>
      <c r="C34" s="31" t="s">
        <v>200</v>
      </c>
    </row>
    <row r="35" ht="15" customHeight="1" spans="1:3" x14ac:dyDescent="0.25">
      <c r="A35" s="5" t="s">
        <v>201</v>
      </c>
      <c r="B35" s="20">
        <f>'Working Capital'!B17</f>
        <v>840000</v>
      </c>
      <c r="C35" s="2" t="s">
        <v>202</v>
      </c>
    </row>
    <row r="36" ht="15" customHeight="1" spans="1:3" x14ac:dyDescent="0.25">
      <c r="A36" s="29" t="s">
        <v>203</v>
      </c>
      <c r="B36" s="30">
        <f>'Working Capital'!B18</f>
        <v>690000</v>
      </c>
      <c r="C36" s="31" t="s">
        <v>204</v>
      </c>
    </row>
    <row r="38" ht="15" customHeight="1" spans="1:1" x14ac:dyDescent="0.25">
      <c r="A38" s="2" t="s">
        <v>205</v>
      </c>
    </row>
    <row r="39" ht="15" customHeight="1" spans="1:2" x14ac:dyDescent="0.25">
      <c r="A39" s="2" t="s">
        <v>206</v>
      </c>
      <c r="B39">
        <f>'Tax and People'!B5</f>
        <v>127800</v>
      </c>
    </row>
    <row r="40" spans="1:2" x14ac:dyDescent="0.25">
      <c r="A40" t="s">
        <v>207</v>
      </c>
      <c r="B40">
        <f>'Tax and People'!B6</f>
        <v>41000</v>
      </c>
    </row>
    <row r="41" spans="1:2" x14ac:dyDescent="0.25">
      <c r="A41" t="s">
        <v>208</v>
      </c>
      <c r="B41">
        <f>'Tax and People'!B7</f>
        <v>86800</v>
      </c>
    </row>
    <row r="42" spans="1:2" x14ac:dyDescent="0.25">
      <c r="A42" t="s">
        <v>209</v>
      </c>
      <c r="B42">
        <f>'Tax and People'!B8</f>
        <v>76680</v>
      </c>
    </row>
    <row r="43" spans="1:2" x14ac:dyDescent="0.25">
      <c r="A43" t="s">
        <v>210</v>
      </c>
      <c r="B43">
        <f>'Tax and People'!B9</f>
        <v>25560</v>
      </c>
    </row>
    <row r="44" spans="1:2" x14ac:dyDescent="0.25">
      <c r="A44" t="s">
        <v>211</v>
      </c>
      <c r="B44">
        <f>'Tax and People'!B10</f>
        <v>25560</v>
      </c>
    </row>
    <row r="45" spans="1:2" x14ac:dyDescent="0.25">
      <c r="A45" t="s">
        <v>212</v>
      </c>
      <c r="B45">
        <f>'Tax and People'!B11</f>
        <v>31000</v>
      </c>
    </row>
    <row r="46" spans="1:2" x14ac:dyDescent="0.25">
      <c r="A46" t="s">
        <v>213</v>
      </c>
      <c r="B46">
        <f>'Tax and People'!B12</f>
        <v>12400</v>
      </c>
    </row>
    <row r="47" spans="1:2" x14ac:dyDescent="0.25">
      <c r="A47" t="s">
        <v>214</v>
      </c>
      <c r="B47">
        <f>'Tax and People'!B13</f>
        <v>4000</v>
      </c>
    </row>
    <row r="48" spans="1:2" x14ac:dyDescent="0.25">
      <c r="A48" t="s">
        <v>215</v>
      </c>
      <c r="B48">
        <f>'Tax and People'!B14</f>
        <v>0</v>
      </c>
    </row>
    <row r="49" spans="1:2" x14ac:dyDescent="0.25">
      <c r="A49" t="s">
        <v>216</v>
      </c>
      <c r="B49">
        <f>'Tax and People'!B15</f>
        <v>0</v>
      </c>
    </row>
    <row r="50" spans="1:2" x14ac:dyDescent="0.25">
      <c r="A50" t="s">
        <v>217</v>
      </c>
      <c r="B50">
        <f>'Tax and People'!B16</f>
        <v>14</v>
      </c>
    </row>
    <row r="51" spans="1:2" x14ac:dyDescent="0.25">
      <c r="A51" t="s">
        <v>218</v>
      </c>
      <c r="B51">
        <f>'Tax and People'!B17</f>
        <v>5</v>
      </c>
    </row>
    <row r="52" spans="1:2" x14ac:dyDescent="0.25">
      <c r="A52" t="s">
        <v>219</v>
      </c>
      <c r="B52">
        <f>'Tax and People'!B18</f>
        <v>0</v>
      </c>
    </row>
    <row r="53" spans="1:2" x14ac:dyDescent="0.25">
      <c r="A53" t="s">
        <v>220</v>
      </c>
      <c r="B53">
        <f>'Tax and People'!B19</f>
        <v>450000</v>
      </c>
    </row>
    <row r="54" spans="1:2" x14ac:dyDescent="0.25">
      <c r="A54" t="s">
        <v>221</v>
      </c>
      <c r="B54">
        <f>'Tax and People'!B20</f>
        <v>90000</v>
      </c>
    </row>
    <row r="55" spans="1:2" x14ac:dyDescent="0.25">
      <c r="A55" t="s">
        <v>222</v>
      </c>
      <c r="B55">
        <f>'Tax and People'!B21</f>
        <v>72000</v>
      </c>
    </row>
    <row r="56" spans="1:2" x14ac:dyDescent="0.25">
      <c r="A56" t="s">
        <v>223</v>
      </c>
      <c r="B56">
        <f>'Tax and People'!B22</f>
        <v>48000</v>
      </c>
    </row>
    <row r="57" spans="1:2" x14ac:dyDescent="0.25">
      <c r="A57" t="s">
        <v>224</v>
      </c>
      <c r="B57">
        <f>'Tax and People'!B23</f>
        <v>40000</v>
      </c>
    </row>
    <row r="58" spans="1:2" x14ac:dyDescent="0.25">
      <c r="A58" t="s">
        <v>225</v>
      </c>
      <c r="B58">
        <f>'Tax and People'!B24</f>
        <v>32000</v>
      </c>
    </row>
    <row r="59" spans="1:2" x14ac:dyDescent="0.25">
      <c r="A59" t="s">
        <v>226</v>
      </c>
      <c r="B59">
        <f>'Tax and People'!B25</f>
        <v>24000</v>
      </c>
    </row>
    <row r="60" spans="1:2" x14ac:dyDescent="0.25">
      <c r="A60" t="s">
        <v>227</v>
      </c>
      <c r="B60">
        <f>'Tax and People'!B26</f>
        <v>49000</v>
      </c>
    </row>
    <row r="61" spans="1:2" x14ac:dyDescent="0.25">
      <c r="A61" t="s">
        <v>228</v>
      </c>
      <c r="B61" t="str">
        <f>'Tax and People'!B27</f>
        <v/>
      </c>
    </row>
    <row r="63" spans="1:1" x14ac:dyDescent="0.25">
      <c r="A63" t="s">
        <v>229</v>
      </c>
    </row>
    <row r="64" spans="1:1" x14ac:dyDescent="0.25">
      <c r="A64" t="s">
        <v>230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8500"/>
  </sheetPr>
  <dimension ref="A1:C28"/>
  <sheetFormatPr defaultRowHeight="15" outlineLevelRow="0" outlineLevelCol="0" x14ac:dyDescent="55"/>
  <cols>
    <col min="1" max="1" width="46" customWidth="1"/>
    <col min="2" max="2" width="18" customWidth="1"/>
    <col min="3" max="3" width="70" customWidth="1"/>
  </cols>
  <sheetData>
    <row r="1" spans="1:1" s="34" customFormat="1" x14ac:dyDescent="0.25">
      <c r="A1" s="34" t="s">
        <v>231</v>
      </c>
    </row>
    <row r="2" spans="1:1" x14ac:dyDescent="0.25">
      <c r="A2" t="s">
        <v>232</v>
      </c>
    </row>
    <row r="4" spans="1:3" s="35" customFormat="1" x14ac:dyDescent="0.25">
      <c r="A4" s="35" t="s">
        <v>233</v>
      </c>
      <c r="B4" s="35" t="s">
        <v>144</v>
      </c>
      <c r="C4" s="35" t="s">
        <v>145</v>
      </c>
    </row>
    <row r="5" spans="1:3" x14ac:dyDescent="0.25">
      <c r="A5" t="s">
        <v>234</v>
      </c>
      <c r="B5" s="36">
        <v>127800</v>
      </c>
      <c r="C5" t="s">
        <v>235</v>
      </c>
    </row>
    <row r="6" spans="1:3" x14ac:dyDescent="0.25">
      <c r="A6" t="s">
        <v>236</v>
      </c>
      <c r="B6" s="36">
        <v>41000</v>
      </c>
      <c r="C6" t="s">
        <v>237</v>
      </c>
    </row>
    <row r="7" spans="1:3" x14ac:dyDescent="0.25">
      <c r="A7" t="s">
        <v>238</v>
      </c>
      <c r="B7" s="36">
        <v>86800</v>
      </c>
      <c r="C7" t="s">
        <v>239</v>
      </c>
    </row>
    <row r="8" spans="1:3" x14ac:dyDescent="0.25">
      <c r="A8" t="s">
        <v>240</v>
      </c>
      <c r="B8" s="36">
        <v>76680</v>
      </c>
      <c r="C8" t="s">
        <v>241</v>
      </c>
    </row>
    <row r="9" spans="1:3" x14ac:dyDescent="0.25">
      <c r="A9" t="s">
        <v>242</v>
      </c>
      <c r="B9" s="36">
        <v>25560</v>
      </c>
      <c r="C9" t="s">
        <v>243</v>
      </c>
    </row>
    <row r="10" spans="1:3" x14ac:dyDescent="0.25">
      <c r="A10" t="s">
        <v>244</v>
      </c>
      <c r="B10" s="36">
        <v>25560</v>
      </c>
      <c r="C10" t="s">
        <v>245</v>
      </c>
    </row>
    <row r="11" spans="1:3" x14ac:dyDescent="0.25">
      <c r="A11" t="s">
        <v>246</v>
      </c>
      <c r="B11" s="36">
        <v>31000</v>
      </c>
      <c r="C11" t="s">
        <v>247</v>
      </c>
    </row>
    <row r="12" spans="1:3" x14ac:dyDescent="0.25">
      <c r="A12" t="s">
        <v>248</v>
      </c>
      <c r="B12" s="36">
        <v>12400</v>
      </c>
      <c r="C12" t="s">
        <v>249</v>
      </c>
    </row>
    <row r="13" spans="1:3" x14ac:dyDescent="0.25">
      <c r="A13" t="s">
        <v>250</v>
      </c>
      <c r="B13" s="36">
        <v>4000</v>
      </c>
      <c r="C13" t="s">
        <v>251</v>
      </c>
    </row>
    <row r="14" spans="1:3" x14ac:dyDescent="0.25">
      <c r="A14" t="s">
        <v>252</v>
      </c>
      <c r="B14" s="36">
        <v>0</v>
      </c>
      <c r="C14" t="s">
        <v>253</v>
      </c>
    </row>
    <row r="15" spans="1:3" x14ac:dyDescent="0.25">
      <c r="A15" t="s">
        <v>254</v>
      </c>
      <c r="B15" s="36">
        <v>0</v>
      </c>
      <c r="C15" t="s">
        <v>255</v>
      </c>
    </row>
    <row r="16" spans="1:3" x14ac:dyDescent="0.25">
      <c r="A16" t="s">
        <v>256</v>
      </c>
      <c r="B16" s="36">
        <v>14</v>
      </c>
      <c r="C16" t="s">
        <v>257</v>
      </c>
    </row>
    <row r="17" spans="1:3" x14ac:dyDescent="0.25">
      <c r="A17" t="s">
        <v>258</v>
      </c>
      <c r="B17" s="36">
        <v>5</v>
      </c>
      <c r="C17" t="s">
        <v>259</v>
      </c>
    </row>
    <row r="18" spans="1:3" x14ac:dyDescent="0.25">
      <c r="A18" t="s">
        <v>260</v>
      </c>
      <c r="B18" s="36">
        <v>0</v>
      </c>
      <c r="C18" t="s">
        <v>261</v>
      </c>
    </row>
    <row r="19" spans="1:3" x14ac:dyDescent="0.25">
      <c r="A19" t="s">
        <v>262</v>
      </c>
      <c r="B19" s="36">
        <v>450000</v>
      </c>
      <c r="C19" t="s">
        <v>263</v>
      </c>
    </row>
    <row r="20" spans="1:3" x14ac:dyDescent="0.25">
      <c r="A20" t="s">
        <v>264</v>
      </c>
      <c r="B20" s="36">
        <v>90000</v>
      </c>
      <c r="C20" t="s">
        <v>265</v>
      </c>
    </row>
    <row r="21" spans="1:3" x14ac:dyDescent="0.25">
      <c r="A21" t="s">
        <v>266</v>
      </c>
      <c r="B21" s="36">
        <v>72000</v>
      </c>
      <c r="C21" t="s">
        <v>265</v>
      </c>
    </row>
    <row r="22" spans="1:3" x14ac:dyDescent="0.25">
      <c r="A22" t="s">
        <v>267</v>
      </c>
      <c r="B22" s="36">
        <v>48000</v>
      </c>
      <c r="C22" t="s">
        <v>265</v>
      </c>
    </row>
    <row r="23" spans="1:3" x14ac:dyDescent="0.25">
      <c r="A23" t="s">
        <v>268</v>
      </c>
      <c r="B23" s="36">
        <v>40000</v>
      </c>
      <c r="C23" t="s">
        <v>265</v>
      </c>
    </row>
    <row r="24" spans="1:3" x14ac:dyDescent="0.25">
      <c r="A24" t="s">
        <v>269</v>
      </c>
      <c r="B24" s="36">
        <v>32000</v>
      </c>
      <c r="C24" t="s">
        <v>265</v>
      </c>
    </row>
    <row r="25" spans="1:3" x14ac:dyDescent="0.25">
      <c r="A25" t="s">
        <v>270</v>
      </c>
      <c r="B25" s="36">
        <v>24000</v>
      </c>
      <c r="C25" t="s">
        <v>265</v>
      </c>
    </row>
    <row r="26" spans="1:3" x14ac:dyDescent="0.25">
      <c r="A26" t="s">
        <v>271</v>
      </c>
      <c r="B26" s="36">
        <v>49000</v>
      </c>
      <c r="C26" t="s">
        <v>265</v>
      </c>
    </row>
    <row r="27" spans="1:3" x14ac:dyDescent="0.25">
      <c r="A27" t="s">
        <v>272</v>
      </c>
      <c r="B27" s="37" t="s">
        <v>265</v>
      </c>
      <c r="C27" t="s">
        <v>273</v>
      </c>
    </row>
    <row r="28" spans="1:3" s="38" customFormat="1" x14ac:dyDescent="0.25">
      <c r="A28" s="38" t="s">
        <v>274</v>
      </c>
      <c r="B28" s="39">
        <f>SUM(B19:B26)</f>
        <v>805000</v>
      </c>
      <c r="C28" s="38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Profit and Loss</vt:lpstr>
      <vt:lpstr>Balance Sheet</vt:lpstr>
      <vt:lpstr>Cash Flow</vt:lpstr>
      <vt:lpstr>Working Capital</vt:lpstr>
      <vt:lpstr>Customers</vt:lpstr>
      <vt:lpstr>Burn and Runway</vt:lpstr>
      <vt:lpstr>Checks</vt:lpstr>
      <vt:lpstr>PBA-DATA</vt:lpstr>
      <vt:lpstr>Tax and 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2026-09-08T11:56:17Z</dcterms:created>
  <dcterms:modified xsi:type="dcterms:W3CDTF">2026-09-08T11:56:17Z</dcterms:modified>
</cp:coreProperties>
</file>